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cuments/MSF Data/NR-AET Project/Github Upload/"/>
    </mc:Choice>
  </mc:AlternateContent>
  <xr:revisionPtr revIDLastSave="0" documentId="13_ncr:1_{D5AB2BCA-CB6C-7842-A18B-02F12EF1AB3D}" xr6:coauthVersionLast="47" xr6:coauthVersionMax="47" xr10:uidLastSave="{00000000-0000-0000-0000-000000000000}"/>
  <bookViews>
    <workbookView xWindow="-6140" yWindow="-23500" windowWidth="38400" windowHeight="23500" activeTab="3" xr2:uid="{89CC76C1-F7A4-C94B-8C6A-04F0C78484A6}"/>
  </bookViews>
  <sheets>
    <sheet name="eWAT - GC Results (mmol kg)" sheetId="1" r:id="rId1"/>
    <sheet name="iWAT - GC Results (mmol kg)" sheetId="2" r:id="rId2"/>
    <sheet name="Liver - GC Results (mmol kg)" sheetId="3" r:id="rId3"/>
    <sheet name="SkM - GC Results (mmol kg)" sheetId="4" r:id="rId4"/>
  </sheets>
  <externalReferences>
    <externalReference r:id="rId5"/>
    <externalReference r:id="rId6"/>
    <externalReference r:id="rId7"/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2" i="4" l="1"/>
  <c r="AG62" i="4"/>
  <c r="AF62" i="4"/>
  <c r="AD62" i="4"/>
  <c r="AC62" i="4"/>
  <c r="AB62" i="4"/>
  <c r="Z62" i="4"/>
  <c r="Y62" i="4"/>
  <c r="W62" i="4"/>
  <c r="V62" i="4"/>
  <c r="U62" i="4"/>
  <c r="T62" i="4"/>
  <c r="S62" i="4"/>
  <c r="R62" i="4"/>
  <c r="Q62" i="4"/>
  <c r="P62" i="4"/>
  <c r="O62" i="4"/>
  <c r="N62" i="4"/>
  <c r="L62" i="4"/>
  <c r="K62" i="4"/>
  <c r="J62" i="4"/>
  <c r="I62" i="4"/>
  <c r="H62" i="4"/>
  <c r="G62" i="4"/>
  <c r="F62" i="4"/>
  <c r="E62" i="4"/>
  <c r="D62" i="4"/>
  <c r="C62" i="4"/>
  <c r="AH61" i="4"/>
  <c r="AG61" i="4"/>
  <c r="AF61" i="4"/>
  <c r="AD61" i="4"/>
  <c r="AC61" i="4"/>
  <c r="AB61" i="4"/>
  <c r="Z61" i="4"/>
  <c r="Y61" i="4"/>
  <c r="W61" i="4"/>
  <c r="V61" i="4"/>
  <c r="U61" i="4"/>
  <c r="T61" i="4"/>
  <c r="S61" i="4"/>
  <c r="R61" i="4"/>
  <c r="Q61" i="4"/>
  <c r="P61" i="4"/>
  <c r="O61" i="4"/>
  <c r="N61" i="4"/>
  <c r="L61" i="4"/>
  <c r="K61" i="4"/>
  <c r="J61" i="4"/>
  <c r="I61" i="4"/>
  <c r="H61" i="4"/>
  <c r="G61" i="4"/>
  <c r="F61" i="4"/>
  <c r="E61" i="4"/>
  <c r="D61" i="4"/>
  <c r="C61" i="4"/>
  <c r="AH60" i="4"/>
  <c r="AG60" i="4"/>
  <c r="AF60" i="4"/>
  <c r="AD60" i="4"/>
  <c r="AC60" i="4"/>
  <c r="AB60" i="4"/>
  <c r="Z60" i="4"/>
  <c r="Y60" i="4"/>
  <c r="W60" i="4"/>
  <c r="V60" i="4"/>
  <c r="U60" i="4"/>
  <c r="T60" i="4"/>
  <c r="S60" i="4"/>
  <c r="R60" i="4"/>
  <c r="Q60" i="4"/>
  <c r="P60" i="4"/>
  <c r="O60" i="4"/>
  <c r="N60" i="4"/>
  <c r="L60" i="4"/>
  <c r="K60" i="4"/>
  <c r="J60" i="4"/>
  <c r="I60" i="4"/>
  <c r="H60" i="4"/>
  <c r="G60" i="4"/>
  <c r="F60" i="4"/>
  <c r="E60" i="4"/>
  <c r="D60" i="4"/>
  <c r="C60" i="4"/>
  <c r="AH59" i="4"/>
  <c r="AG59" i="4"/>
  <c r="AF59" i="4"/>
  <c r="AD59" i="4"/>
  <c r="AC59" i="4"/>
  <c r="AB59" i="4"/>
  <c r="Z59" i="4"/>
  <c r="Y59" i="4"/>
  <c r="W59" i="4"/>
  <c r="V59" i="4"/>
  <c r="U59" i="4"/>
  <c r="T59" i="4"/>
  <c r="S59" i="4"/>
  <c r="R59" i="4"/>
  <c r="Q59" i="4"/>
  <c r="P59" i="4"/>
  <c r="O59" i="4"/>
  <c r="N59" i="4"/>
  <c r="L59" i="4"/>
  <c r="K59" i="4"/>
  <c r="J59" i="4"/>
  <c r="I59" i="4"/>
  <c r="H59" i="4"/>
  <c r="G59" i="4"/>
  <c r="F59" i="4"/>
  <c r="E59" i="4"/>
  <c r="D59" i="4"/>
  <c r="C59" i="4"/>
  <c r="AH58" i="4"/>
  <c r="AG58" i="4"/>
  <c r="AF58" i="4"/>
  <c r="AD58" i="4"/>
  <c r="AC58" i="4"/>
  <c r="AB58" i="4"/>
  <c r="Z58" i="4"/>
  <c r="Y58" i="4"/>
  <c r="W58" i="4"/>
  <c r="V58" i="4"/>
  <c r="U58" i="4"/>
  <c r="T58" i="4"/>
  <c r="S58" i="4"/>
  <c r="R58" i="4"/>
  <c r="Q58" i="4"/>
  <c r="P58" i="4"/>
  <c r="O58" i="4"/>
  <c r="N58" i="4"/>
  <c r="L58" i="4"/>
  <c r="K58" i="4"/>
  <c r="J58" i="4"/>
  <c r="I58" i="4"/>
  <c r="H58" i="4"/>
  <c r="G58" i="4"/>
  <c r="F58" i="4"/>
  <c r="E58" i="4"/>
  <c r="D58" i="4"/>
  <c r="C58" i="4"/>
  <c r="AH57" i="4"/>
  <c r="AG57" i="4"/>
  <c r="AF57" i="4"/>
  <c r="AD57" i="4"/>
  <c r="AC57" i="4"/>
  <c r="AB57" i="4"/>
  <c r="Z57" i="4"/>
  <c r="Y57" i="4"/>
  <c r="W57" i="4"/>
  <c r="V57" i="4"/>
  <c r="U57" i="4"/>
  <c r="T57" i="4"/>
  <c r="S57" i="4"/>
  <c r="R57" i="4"/>
  <c r="Q57" i="4"/>
  <c r="P57" i="4"/>
  <c r="O57" i="4"/>
  <c r="N57" i="4"/>
  <c r="L57" i="4"/>
  <c r="K57" i="4"/>
  <c r="J57" i="4"/>
  <c r="I57" i="4"/>
  <c r="H57" i="4"/>
  <c r="G57" i="4"/>
  <c r="F57" i="4"/>
  <c r="E57" i="4"/>
  <c r="D57" i="4"/>
  <c r="C57" i="4"/>
  <c r="AH56" i="4"/>
  <c r="AG56" i="4"/>
  <c r="AF56" i="4"/>
  <c r="AD56" i="4"/>
  <c r="AC56" i="4"/>
  <c r="AB56" i="4"/>
  <c r="Z56" i="4"/>
  <c r="Y56" i="4"/>
  <c r="W56" i="4"/>
  <c r="V56" i="4"/>
  <c r="U56" i="4"/>
  <c r="T56" i="4"/>
  <c r="S56" i="4"/>
  <c r="R56" i="4"/>
  <c r="Q56" i="4"/>
  <c r="P56" i="4"/>
  <c r="O56" i="4"/>
  <c r="N56" i="4"/>
  <c r="L56" i="4"/>
  <c r="K56" i="4"/>
  <c r="J56" i="4"/>
  <c r="I56" i="4"/>
  <c r="H56" i="4"/>
  <c r="G56" i="4"/>
  <c r="F56" i="4"/>
  <c r="E56" i="4"/>
  <c r="D56" i="4"/>
  <c r="C56" i="4"/>
  <c r="AH55" i="4"/>
  <c r="AG55" i="4"/>
  <c r="AF55" i="4"/>
  <c r="AD55" i="4"/>
  <c r="AC55" i="4"/>
  <c r="AB55" i="4"/>
  <c r="Z55" i="4"/>
  <c r="Y55" i="4"/>
  <c r="W55" i="4"/>
  <c r="V55" i="4"/>
  <c r="U55" i="4"/>
  <c r="T55" i="4"/>
  <c r="S55" i="4"/>
  <c r="R55" i="4"/>
  <c r="Q55" i="4"/>
  <c r="P55" i="4"/>
  <c r="O55" i="4"/>
  <c r="N55" i="4"/>
  <c r="L55" i="4"/>
  <c r="K55" i="4"/>
  <c r="J55" i="4"/>
  <c r="I55" i="4"/>
  <c r="H55" i="4"/>
  <c r="G55" i="4"/>
  <c r="F55" i="4"/>
  <c r="E55" i="4"/>
  <c r="D55" i="4"/>
  <c r="C55" i="4"/>
  <c r="AH54" i="4"/>
  <c r="AG54" i="4"/>
  <c r="AF54" i="4"/>
  <c r="AD54" i="4"/>
  <c r="AC54" i="4"/>
  <c r="AB54" i="4"/>
  <c r="Z54" i="4"/>
  <c r="Y54" i="4"/>
  <c r="W54" i="4"/>
  <c r="V54" i="4"/>
  <c r="U54" i="4"/>
  <c r="T54" i="4"/>
  <c r="S54" i="4"/>
  <c r="R54" i="4"/>
  <c r="Q54" i="4"/>
  <c r="P54" i="4"/>
  <c r="O54" i="4"/>
  <c r="N54" i="4"/>
  <c r="L54" i="4"/>
  <c r="K54" i="4"/>
  <c r="J54" i="4"/>
  <c r="I54" i="4"/>
  <c r="H54" i="4"/>
  <c r="G54" i="4"/>
  <c r="F54" i="4"/>
  <c r="E54" i="4"/>
  <c r="D54" i="4"/>
  <c r="C54" i="4"/>
  <c r="AH53" i="4"/>
  <c r="AG53" i="4"/>
  <c r="AF53" i="4"/>
  <c r="AD53" i="4"/>
  <c r="AC53" i="4"/>
  <c r="AB53" i="4"/>
  <c r="Z53" i="4"/>
  <c r="Y53" i="4"/>
  <c r="W53" i="4"/>
  <c r="V53" i="4"/>
  <c r="U53" i="4"/>
  <c r="T53" i="4"/>
  <c r="S53" i="4"/>
  <c r="R53" i="4"/>
  <c r="Q53" i="4"/>
  <c r="P53" i="4"/>
  <c r="O53" i="4"/>
  <c r="N53" i="4"/>
  <c r="L53" i="4"/>
  <c r="K53" i="4"/>
  <c r="J53" i="4"/>
  <c r="I53" i="4"/>
  <c r="H53" i="4"/>
  <c r="G53" i="4"/>
  <c r="F53" i="4"/>
  <c r="E53" i="4"/>
  <c r="D53" i="4"/>
  <c r="C53" i="4"/>
  <c r="AH52" i="4"/>
  <c r="AG52" i="4"/>
  <c r="AF52" i="4"/>
  <c r="AD52" i="4"/>
  <c r="AC52" i="4"/>
  <c r="AB52" i="4"/>
  <c r="Z52" i="4"/>
  <c r="Y52" i="4"/>
  <c r="W52" i="4"/>
  <c r="V52" i="4"/>
  <c r="U52" i="4"/>
  <c r="T52" i="4"/>
  <c r="S52" i="4"/>
  <c r="R52" i="4"/>
  <c r="Q52" i="4"/>
  <c r="P52" i="4"/>
  <c r="O52" i="4"/>
  <c r="N52" i="4"/>
  <c r="L52" i="4"/>
  <c r="K52" i="4"/>
  <c r="J52" i="4"/>
  <c r="I52" i="4"/>
  <c r="H52" i="4"/>
  <c r="G52" i="4"/>
  <c r="F52" i="4"/>
  <c r="E52" i="4"/>
  <c r="D52" i="4"/>
  <c r="C52" i="4"/>
  <c r="AH51" i="4"/>
  <c r="AG51" i="4"/>
  <c r="AF51" i="4"/>
  <c r="AD51" i="4"/>
  <c r="AD64" i="4" s="1"/>
  <c r="AC51" i="4"/>
  <c r="AB51" i="4"/>
  <c r="Z51" i="4"/>
  <c r="Y51" i="4"/>
  <c r="W51" i="4"/>
  <c r="V51" i="4"/>
  <c r="U51" i="4"/>
  <c r="U64" i="4" s="1"/>
  <c r="T51" i="4"/>
  <c r="S51" i="4"/>
  <c r="R51" i="4"/>
  <c r="Q51" i="4"/>
  <c r="P51" i="4"/>
  <c r="O51" i="4"/>
  <c r="N51" i="4"/>
  <c r="L51" i="4"/>
  <c r="L64" i="4" s="1"/>
  <c r="K51" i="4"/>
  <c r="J51" i="4"/>
  <c r="I51" i="4"/>
  <c r="H51" i="4"/>
  <c r="G51" i="4"/>
  <c r="F51" i="4"/>
  <c r="E51" i="4"/>
  <c r="D51" i="4"/>
  <c r="D64" i="4" s="1"/>
  <c r="C51" i="4"/>
  <c r="AH50" i="4"/>
  <c r="AG50" i="4"/>
  <c r="AF50" i="4"/>
  <c r="AD50" i="4"/>
  <c r="AC50" i="4"/>
  <c r="AB50" i="4"/>
  <c r="Z50" i="4"/>
  <c r="Y50" i="4"/>
  <c r="W50" i="4"/>
  <c r="V50" i="4"/>
  <c r="U50" i="4"/>
  <c r="T50" i="4"/>
  <c r="S50" i="4"/>
  <c r="R50" i="4"/>
  <c r="Q50" i="4"/>
  <c r="P50" i="4"/>
  <c r="O50" i="4"/>
  <c r="N50" i="4"/>
  <c r="L50" i="4"/>
  <c r="K50" i="4"/>
  <c r="J50" i="4"/>
  <c r="I50" i="4"/>
  <c r="H50" i="4"/>
  <c r="G50" i="4"/>
  <c r="F50" i="4"/>
  <c r="E50" i="4"/>
  <c r="D50" i="4"/>
  <c r="C50" i="4"/>
  <c r="AH49" i="4"/>
  <c r="AG49" i="4"/>
  <c r="AF49" i="4"/>
  <c r="AD49" i="4"/>
  <c r="AC49" i="4"/>
  <c r="AB49" i="4"/>
  <c r="Z49" i="4"/>
  <c r="Y49" i="4"/>
  <c r="W49" i="4"/>
  <c r="V49" i="4"/>
  <c r="U49" i="4"/>
  <c r="T49" i="4"/>
  <c r="S49" i="4"/>
  <c r="R49" i="4"/>
  <c r="R64" i="4" s="1"/>
  <c r="Q49" i="4"/>
  <c r="P49" i="4"/>
  <c r="O49" i="4"/>
  <c r="N49" i="4"/>
  <c r="L49" i="4"/>
  <c r="K49" i="4"/>
  <c r="J49" i="4"/>
  <c r="I49" i="4"/>
  <c r="I64" i="4" s="1"/>
  <c r="H49" i="4"/>
  <c r="G49" i="4"/>
  <c r="F49" i="4"/>
  <c r="E49" i="4"/>
  <c r="D49" i="4"/>
  <c r="C49" i="4"/>
  <c r="AH48" i="4"/>
  <c r="AH64" i="4" s="1"/>
  <c r="AG48" i="4"/>
  <c r="AG64" i="4" s="1"/>
  <c r="AF48" i="4"/>
  <c r="AF64" i="4" s="1"/>
  <c r="AD48" i="4"/>
  <c r="AC48" i="4"/>
  <c r="AC64" i="4" s="1"/>
  <c r="AB48" i="4"/>
  <c r="AB64" i="4" s="1"/>
  <c r="Z48" i="4"/>
  <c r="Z64" i="4" s="1"/>
  <c r="Y48" i="4"/>
  <c r="Y64" i="4" s="1"/>
  <c r="W48" i="4"/>
  <c r="W64" i="4" s="1"/>
  <c r="V48" i="4"/>
  <c r="V64" i="4" s="1"/>
  <c r="U48" i="4"/>
  <c r="T48" i="4"/>
  <c r="T64" i="4" s="1"/>
  <c r="S48" i="4"/>
  <c r="S64" i="4" s="1"/>
  <c r="R48" i="4"/>
  <c r="Q48" i="4"/>
  <c r="Q64" i="4" s="1"/>
  <c r="P48" i="4"/>
  <c r="P64" i="4" s="1"/>
  <c r="O48" i="4"/>
  <c r="O64" i="4" s="1"/>
  <c r="N48" i="4"/>
  <c r="N64" i="4" s="1"/>
  <c r="L48" i="4"/>
  <c r="K48" i="4"/>
  <c r="K64" i="4" s="1"/>
  <c r="J48" i="4"/>
  <c r="J64" i="4" s="1"/>
  <c r="I48" i="4"/>
  <c r="H48" i="4"/>
  <c r="H64" i="4" s="1"/>
  <c r="G48" i="4"/>
  <c r="G64" i="4" s="1"/>
  <c r="F48" i="4"/>
  <c r="F64" i="4" s="1"/>
  <c r="E48" i="4"/>
  <c r="E64" i="4" s="1"/>
  <c r="D48" i="4"/>
  <c r="C48" i="4"/>
  <c r="C64" i="4" s="1"/>
  <c r="AH40" i="4"/>
  <c r="AG40" i="4"/>
  <c r="AF40" i="4"/>
  <c r="AC40" i="4"/>
  <c r="AB40" i="4"/>
  <c r="AA40" i="4"/>
  <c r="Z40" i="4"/>
  <c r="Y40" i="4"/>
  <c r="W40" i="4"/>
  <c r="V40" i="4"/>
  <c r="U40" i="4"/>
  <c r="T40" i="4"/>
  <c r="S40" i="4"/>
  <c r="R40" i="4"/>
  <c r="Q40" i="4"/>
  <c r="P40" i="4"/>
  <c r="O40" i="4"/>
  <c r="N40" i="4"/>
  <c r="L40" i="4"/>
  <c r="K40" i="4"/>
  <c r="J40" i="4"/>
  <c r="I40" i="4"/>
  <c r="H40" i="4"/>
  <c r="G40" i="4"/>
  <c r="F40" i="4"/>
  <c r="E40" i="4"/>
  <c r="D40" i="4"/>
  <c r="C40" i="4"/>
  <c r="AH39" i="4"/>
  <c r="AG39" i="4"/>
  <c r="AF39" i="4"/>
  <c r="AC39" i="4"/>
  <c r="AB39" i="4"/>
  <c r="AA39" i="4"/>
  <c r="Z39" i="4"/>
  <c r="Y39" i="4"/>
  <c r="W39" i="4"/>
  <c r="V39" i="4"/>
  <c r="U39" i="4"/>
  <c r="T39" i="4"/>
  <c r="S39" i="4"/>
  <c r="R39" i="4"/>
  <c r="Q39" i="4"/>
  <c r="P39" i="4"/>
  <c r="O39" i="4"/>
  <c r="N39" i="4"/>
  <c r="L39" i="4"/>
  <c r="K39" i="4"/>
  <c r="J39" i="4"/>
  <c r="I39" i="4"/>
  <c r="H39" i="4"/>
  <c r="G39" i="4"/>
  <c r="F39" i="4"/>
  <c r="E39" i="4"/>
  <c r="D39" i="4"/>
  <c r="C39" i="4"/>
  <c r="AH38" i="4"/>
  <c r="AG38" i="4"/>
  <c r="AF38" i="4"/>
  <c r="AC38" i="4"/>
  <c r="AB38" i="4"/>
  <c r="AA38" i="4"/>
  <c r="Z38" i="4"/>
  <c r="Y38" i="4"/>
  <c r="W38" i="4"/>
  <c r="V38" i="4"/>
  <c r="U38" i="4"/>
  <c r="T38" i="4"/>
  <c r="S38" i="4"/>
  <c r="R38" i="4"/>
  <c r="Q38" i="4"/>
  <c r="P38" i="4"/>
  <c r="O38" i="4"/>
  <c r="N38" i="4"/>
  <c r="L38" i="4"/>
  <c r="K38" i="4"/>
  <c r="J38" i="4"/>
  <c r="I38" i="4"/>
  <c r="H38" i="4"/>
  <c r="G38" i="4"/>
  <c r="F38" i="4"/>
  <c r="E38" i="4"/>
  <c r="D38" i="4"/>
  <c r="C38" i="4"/>
  <c r="AH37" i="4"/>
  <c r="AG37" i="4"/>
  <c r="AF37" i="4"/>
  <c r="AC37" i="4"/>
  <c r="AB37" i="4"/>
  <c r="AA37" i="4"/>
  <c r="Z37" i="4"/>
  <c r="Y37" i="4"/>
  <c r="W37" i="4"/>
  <c r="V37" i="4"/>
  <c r="U37" i="4"/>
  <c r="T37" i="4"/>
  <c r="S37" i="4"/>
  <c r="R37" i="4"/>
  <c r="Q37" i="4"/>
  <c r="P37" i="4"/>
  <c r="O37" i="4"/>
  <c r="N37" i="4"/>
  <c r="L37" i="4"/>
  <c r="K37" i="4"/>
  <c r="J37" i="4"/>
  <c r="I37" i="4"/>
  <c r="H37" i="4"/>
  <c r="G37" i="4"/>
  <c r="F37" i="4"/>
  <c r="E37" i="4"/>
  <c r="D37" i="4"/>
  <c r="C37" i="4"/>
  <c r="AH36" i="4"/>
  <c r="AG36" i="4"/>
  <c r="AF36" i="4"/>
  <c r="AC36" i="4"/>
  <c r="AB36" i="4"/>
  <c r="AA36" i="4"/>
  <c r="Z36" i="4"/>
  <c r="Y36" i="4"/>
  <c r="W36" i="4"/>
  <c r="V36" i="4"/>
  <c r="U36" i="4"/>
  <c r="T36" i="4"/>
  <c r="S36" i="4"/>
  <c r="R36" i="4"/>
  <c r="Q36" i="4"/>
  <c r="P36" i="4"/>
  <c r="O36" i="4"/>
  <c r="N36" i="4"/>
  <c r="L36" i="4"/>
  <c r="K36" i="4"/>
  <c r="J36" i="4"/>
  <c r="I36" i="4"/>
  <c r="H36" i="4"/>
  <c r="G36" i="4"/>
  <c r="F36" i="4"/>
  <c r="E36" i="4"/>
  <c r="D36" i="4"/>
  <c r="C36" i="4"/>
  <c r="AH35" i="4"/>
  <c r="AG35" i="4"/>
  <c r="AF35" i="4"/>
  <c r="AC35" i="4"/>
  <c r="AB35" i="4"/>
  <c r="AA35" i="4"/>
  <c r="Z35" i="4"/>
  <c r="Y35" i="4"/>
  <c r="W35" i="4"/>
  <c r="V35" i="4"/>
  <c r="U35" i="4"/>
  <c r="T35" i="4"/>
  <c r="S35" i="4"/>
  <c r="R35" i="4"/>
  <c r="Q35" i="4"/>
  <c r="P35" i="4"/>
  <c r="O35" i="4"/>
  <c r="N35" i="4"/>
  <c r="L35" i="4"/>
  <c r="K35" i="4"/>
  <c r="J35" i="4"/>
  <c r="I35" i="4"/>
  <c r="H35" i="4"/>
  <c r="G35" i="4"/>
  <c r="F35" i="4"/>
  <c r="E35" i="4"/>
  <c r="D35" i="4"/>
  <c r="C35" i="4"/>
  <c r="AH34" i="4"/>
  <c r="AG34" i="4"/>
  <c r="AF34" i="4"/>
  <c r="AC34" i="4"/>
  <c r="AB34" i="4"/>
  <c r="AA34" i="4"/>
  <c r="Z34" i="4"/>
  <c r="Y34" i="4"/>
  <c r="W34" i="4"/>
  <c r="V34" i="4"/>
  <c r="U34" i="4"/>
  <c r="T34" i="4"/>
  <c r="S34" i="4"/>
  <c r="R34" i="4"/>
  <c r="Q34" i="4"/>
  <c r="P34" i="4"/>
  <c r="O34" i="4"/>
  <c r="N34" i="4"/>
  <c r="L34" i="4"/>
  <c r="K34" i="4"/>
  <c r="J34" i="4"/>
  <c r="I34" i="4"/>
  <c r="H34" i="4"/>
  <c r="G34" i="4"/>
  <c r="F34" i="4"/>
  <c r="E34" i="4"/>
  <c r="D34" i="4"/>
  <c r="C34" i="4"/>
  <c r="AH33" i="4"/>
  <c r="AG33" i="4"/>
  <c r="AF33" i="4"/>
  <c r="AC33" i="4"/>
  <c r="AB33" i="4"/>
  <c r="AA33" i="4"/>
  <c r="Z33" i="4"/>
  <c r="Y33" i="4"/>
  <c r="W33" i="4"/>
  <c r="V33" i="4"/>
  <c r="U33" i="4"/>
  <c r="T33" i="4"/>
  <c r="S33" i="4"/>
  <c r="R33" i="4"/>
  <c r="Q33" i="4"/>
  <c r="P33" i="4"/>
  <c r="O33" i="4"/>
  <c r="N33" i="4"/>
  <c r="L33" i="4"/>
  <c r="K33" i="4"/>
  <c r="J33" i="4"/>
  <c r="I33" i="4"/>
  <c r="H33" i="4"/>
  <c r="G33" i="4"/>
  <c r="F33" i="4"/>
  <c r="E33" i="4"/>
  <c r="D33" i="4"/>
  <c r="C33" i="4"/>
  <c r="AH32" i="4"/>
  <c r="AG32" i="4"/>
  <c r="AF32" i="4"/>
  <c r="AC32" i="4"/>
  <c r="AB32" i="4"/>
  <c r="AA32" i="4"/>
  <c r="Z32" i="4"/>
  <c r="Y32" i="4"/>
  <c r="W32" i="4"/>
  <c r="V32" i="4"/>
  <c r="U32" i="4"/>
  <c r="T32" i="4"/>
  <c r="S32" i="4"/>
  <c r="R32" i="4"/>
  <c r="Q32" i="4"/>
  <c r="P32" i="4"/>
  <c r="O32" i="4"/>
  <c r="N32" i="4"/>
  <c r="L32" i="4"/>
  <c r="K32" i="4"/>
  <c r="J32" i="4"/>
  <c r="I32" i="4"/>
  <c r="H32" i="4"/>
  <c r="G32" i="4"/>
  <c r="F32" i="4"/>
  <c r="E32" i="4"/>
  <c r="D32" i="4"/>
  <c r="C32" i="4"/>
  <c r="AH31" i="4"/>
  <c r="AG31" i="4"/>
  <c r="AF31" i="4"/>
  <c r="AC31" i="4"/>
  <c r="AB31" i="4"/>
  <c r="AA31" i="4"/>
  <c r="Z31" i="4"/>
  <c r="Y31" i="4"/>
  <c r="W31" i="4"/>
  <c r="V31" i="4"/>
  <c r="U31" i="4"/>
  <c r="T31" i="4"/>
  <c r="S31" i="4"/>
  <c r="R31" i="4"/>
  <c r="Q31" i="4"/>
  <c r="P31" i="4"/>
  <c r="O31" i="4"/>
  <c r="N31" i="4"/>
  <c r="L31" i="4"/>
  <c r="K31" i="4"/>
  <c r="J31" i="4"/>
  <c r="I31" i="4"/>
  <c r="H31" i="4"/>
  <c r="G31" i="4"/>
  <c r="F31" i="4"/>
  <c r="E31" i="4"/>
  <c r="D31" i="4"/>
  <c r="C31" i="4"/>
  <c r="AH30" i="4"/>
  <c r="AG30" i="4"/>
  <c r="AF30" i="4"/>
  <c r="AC30" i="4"/>
  <c r="AB30" i="4"/>
  <c r="AA30" i="4"/>
  <c r="Z30" i="4"/>
  <c r="Y30" i="4"/>
  <c r="W30" i="4"/>
  <c r="V30" i="4"/>
  <c r="U30" i="4"/>
  <c r="T30" i="4"/>
  <c r="S30" i="4"/>
  <c r="R30" i="4"/>
  <c r="Q30" i="4"/>
  <c r="P30" i="4"/>
  <c r="O30" i="4"/>
  <c r="N30" i="4"/>
  <c r="L30" i="4"/>
  <c r="K30" i="4"/>
  <c r="J30" i="4"/>
  <c r="I30" i="4"/>
  <c r="H30" i="4"/>
  <c r="G30" i="4"/>
  <c r="F30" i="4"/>
  <c r="E30" i="4"/>
  <c r="D30" i="4"/>
  <c r="C30" i="4"/>
  <c r="AH29" i="4"/>
  <c r="AG29" i="4"/>
  <c r="AF29" i="4"/>
  <c r="AC29" i="4"/>
  <c r="AC42" i="4" s="1"/>
  <c r="AB29" i="4"/>
  <c r="AA29" i="4"/>
  <c r="Z29" i="4"/>
  <c r="Y29" i="4"/>
  <c r="W29" i="4"/>
  <c r="V29" i="4"/>
  <c r="U29" i="4"/>
  <c r="U42" i="4" s="1"/>
  <c r="T29" i="4"/>
  <c r="T42" i="4" s="1"/>
  <c r="S29" i="4"/>
  <c r="R29" i="4"/>
  <c r="Q29" i="4"/>
  <c r="P29" i="4"/>
  <c r="O29" i="4"/>
  <c r="N29" i="4"/>
  <c r="L29" i="4"/>
  <c r="L42" i="4" s="1"/>
  <c r="K29" i="4"/>
  <c r="K42" i="4" s="1"/>
  <c r="J29" i="4"/>
  <c r="I29" i="4"/>
  <c r="H29" i="4"/>
  <c r="G29" i="4"/>
  <c r="F29" i="4"/>
  <c r="E29" i="4"/>
  <c r="D29" i="4"/>
  <c r="D42" i="4" s="1"/>
  <c r="C29" i="4"/>
  <c r="C42" i="4" s="1"/>
  <c r="AH28" i="4"/>
  <c r="AG28" i="4"/>
  <c r="AF28" i="4"/>
  <c r="AC28" i="4"/>
  <c r="AB28" i="4"/>
  <c r="AA28" i="4"/>
  <c r="AA42" i="4" s="1"/>
  <c r="Z28" i="4"/>
  <c r="Y28" i="4"/>
  <c r="W28" i="4"/>
  <c r="V28" i="4"/>
  <c r="U28" i="4"/>
  <c r="T28" i="4"/>
  <c r="S28" i="4"/>
  <c r="R28" i="4"/>
  <c r="R42" i="4" s="1"/>
  <c r="Q28" i="4"/>
  <c r="P28" i="4"/>
  <c r="O28" i="4"/>
  <c r="N28" i="4"/>
  <c r="L28" i="4"/>
  <c r="K28" i="4"/>
  <c r="J28" i="4"/>
  <c r="I28" i="4"/>
  <c r="I42" i="4" s="1"/>
  <c r="H28" i="4"/>
  <c r="G28" i="4"/>
  <c r="F28" i="4"/>
  <c r="E28" i="4"/>
  <c r="D28" i="4"/>
  <c r="C28" i="4"/>
  <c r="AH27" i="4"/>
  <c r="AG27" i="4"/>
  <c r="AF27" i="4"/>
  <c r="AC27" i="4"/>
  <c r="AB27" i="4"/>
  <c r="AA27" i="4"/>
  <c r="Z27" i="4"/>
  <c r="Y27" i="4"/>
  <c r="W27" i="4"/>
  <c r="V27" i="4"/>
  <c r="U27" i="4"/>
  <c r="T27" i="4"/>
  <c r="S27" i="4"/>
  <c r="R27" i="4"/>
  <c r="Q27" i="4"/>
  <c r="P27" i="4"/>
  <c r="O27" i="4"/>
  <c r="N27" i="4"/>
  <c r="L27" i="4"/>
  <c r="K27" i="4"/>
  <c r="J27" i="4"/>
  <c r="I27" i="4"/>
  <c r="H27" i="4"/>
  <c r="G27" i="4"/>
  <c r="F27" i="4"/>
  <c r="E27" i="4"/>
  <c r="D27" i="4"/>
  <c r="C27" i="4"/>
  <c r="AH26" i="4"/>
  <c r="AH42" i="4" s="1"/>
  <c r="AG26" i="4"/>
  <c r="AG42" i="4" s="1"/>
  <c r="AF26" i="4"/>
  <c r="AF42" i="4" s="1"/>
  <c r="AC26" i="4"/>
  <c r="AB26" i="4"/>
  <c r="AB42" i="4" s="1"/>
  <c r="AA26" i="4"/>
  <c r="Z26" i="4"/>
  <c r="Z42" i="4" s="1"/>
  <c r="Y26" i="4"/>
  <c r="Y42" i="4" s="1"/>
  <c r="W26" i="4"/>
  <c r="W42" i="4" s="1"/>
  <c r="V26" i="4"/>
  <c r="V42" i="4" s="1"/>
  <c r="U26" i="4"/>
  <c r="T26" i="4"/>
  <c r="S26" i="4"/>
  <c r="S42" i="4" s="1"/>
  <c r="R26" i="4"/>
  <c r="Q26" i="4"/>
  <c r="Q42" i="4" s="1"/>
  <c r="P26" i="4"/>
  <c r="P42" i="4" s="1"/>
  <c r="O26" i="4"/>
  <c r="O42" i="4" s="1"/>
  <c r="N26" i="4"/>
  <c r="N42" i="4" s="1"/>
  <c r="L26" i="4"/>
  <c r="K26" i="4"/>
  <c r="J26" i="4"/>
  <c r="J42" i="4" s="1"/>
  <c r="I26" i="4"/>
  <c r="H26" i="4"/>
  <c r="H42" i="4" s="1"/>
  <c r="G26" i="4"/>
  <c r="G42" i="4" s="1"/>
  <c r="F26" i="4"/>
  <c r="F42" i="4" s="1"/>
  <c r="E26" i="4"/>
  <c r="E42" i="4" s="1"/>
  <c r="D26" i="4"/>
  <c r="C26" i="4"/>
  <c r="AH18" i="4"/>
  <c r="AG18" i="4"/>
  <c r="AF18" i="4"/>
  <c r="AE18" i="4"/>
  <c r="AD18" i="4"/>
  <c r="AC18" i="4"/>
  <c r="AB18" i="4"/>
  <c r="AA18" i="4"/>
  <c r="Z18" i="4"/>
  <c r="Y18" i="4"/>
  <c r="W18" i="4"/>
  <c r="V18" i="4"/>
  <c r="U18" i="4"/>
  <c r="T18" i="4"/>
  <c r="S18" i="4"/>
  <c r="R18" i="4"/>
  <c r="O18" i="4"/>
  <c r="N18" i="4"/>
  <c r="L18" i="4"/>
  <c r="K18" i="4"/>
  <c r="J18" i="4"/>
  <c r="I18" i="4"/>
  <c r="H18" i="4"/>
  <c r="G18" i="4"/>
  <c r="F18" i="4"/>
  <c r="E18" i="4"/>
  <c r="D18" i="4"/>
  <c r="C18" i="4"/>
  <c r="AH17" i="4"/>
  <c r="AG17" i="4"/>
  <c r="AF17" i="4"/>
  <c r="AE17" i="4"/>
  <c r="AD17" i="4"/>
  <c r="AC17" i="4"/>
  <c r="AB17" i="4"/>
  <c r="AA17" i="4"/>
  <c r="Z17" i="4"/>
  <c r="Y17" i="4"/>
  <c r="W17" i="4"/>
  <c r="V17" i="4"/>
  <c r="U17" i="4"/>
  <c r="T17" i="4"/>
  <c r="S17" i="4"/>
  <c r="R17" i="4"/>
  <c r="O17" i="4"/>
  <c r="N17" i="4"/>
  <c r="L17" i="4"/>
  <c r="K17" i="4"/>
  <c r="J17" i="4"/>
  <c r="I17" i="4"/>
  <c r="H17" i="4"/>
  <c r="G17" i="4"/>
  <c r="F17" i="4"/>
  <c r="E17" i="4"/>
  <c r="D17" i="4"/>
  <c r="C17" i="4"/>
  <c r="AH16" i="4"/>
  <c r="AG16" i="4"/>
  <c r="AF16" i="4"/>
  <c r="AE16" i="4"/>
  <c r="AD16" i="4"/>
  <c r="AC16" i="4"/>
  <c r="AB16" i="4"/>
  <c r="AA16" i="4"/>
  <c r="Z16" i="4"/>
  <c r="Y16" i="4"/>
  <c r="W16" i="4"/>
  <c r="V16" i="4"/>
  <c r="U16" i="4"/>
  <c r="T16" i="4"/>
  <c r="S16" i="4"/>
  <c r="R16" i="4"/>
  <c r="O16" i="4"/>
  <c r="N16" i="4"/>
  <c r="L16" i="4"/>
  <c r="K16" i="4"/>
  <c r="J16" i="4"/>
  <c r="I16" i="4"/>
  <c r="H16" i="4"/>
  <c r="G16" i="4"/>
  <c r="F16" i="4"/>
  <c r="E16" i="4"/>
  <c r="D16" i="4"/>
  <c r="C16" i="4"/>
  <c r="AH15" i="4"/>
  <c r="AG15" i="4"/>
  <c r="AF15" i="4"/>
  <c r="AE15" i="4"/>
  <c r="AD15" i="4"/>
  <c r="AC15" i="4"/>
  <c r="AB15" i="4"/>
  <c r="AA15" i="4"/>
  <c r="Z15" i="4"/>
  <c r="Y15" i="4"/>
  <c r="W15" i="4"/>
  <c r="V15" i="4"/>
  <c r="U15" i="4"/>
  <c r="T15" i="4"/>
  <c r="S15" i="4"/>
  <c r="R15" i="4"/>
  <c r="O15" i="4"/>
  <c r="N15" i="4"/>
  <c r="L15" i="4"/>
  <c r="K15" i="4"/>
  <c r="J15" i="4"/>
  <c r="I15" i="4"/>
  <c r="H15" i="4"/>
  <c r="G15" i="4"/>
  <c r="F15" i="4"/>
  <c r="E15" i="4"/>
  <c r="D15" i="4"/>
  <c r="C15" i="4"/>
  <c r="AH14" i="4"/>
  <c r="AG14" i="4"/>
  <c r="AF14" i="4"/>
  <c r="AE14" i="4"/>
  <c r="AD14" i="4"/>
  <c r="AC14" i="4"/>
  <c r="AB14" i="4"/>
  <c r="AA14" i="4"/>
  <c r="Z14" i="4"/>
  <c r="Y14" i="4"/>
  <c r="W14" i="4"/>
  <c r="V14" i="4"/>
  <c r="U14" i="4"/>
  <c r="T14" i="4"/>
  <c r="S14" i="4"/>
  <c r="R14" i="4"/>
  <c r="O14" i="4"/>
  <c r="N14" i="4"/>
  <c r="L14" i="4"/>
  <c r="K14" i="4"/>
  <c r="J14" i="4"/>
  <c r="I14" i="4"/>
  <c r="H14" i="4"/>
  <c r="G14" i="4"/>
  <c r="F14" i="4"/>
  <c r="E14" i="4"/>
  <c r="D14" i="4"/>
  <c r="C14" i="4"/>
  <c r="AH13" i="4"/>
  <c r="AG13" i="4"/>
  <c r="AF13" i="4"/>
  <c r="AE13" i="4"/>
  <c r="AD13" i="4"/>
  <c r="AC13" i="4"/>
  <c r="AB13" i="4"/>
  <c r="AA13" i="4"/>
  <c r="Z13" i="4"/>
  <c r="Y13" i="4"/>
  <c r="W13" i="4"/>
  <c r="V13" i="4"/>
  <c r="U13" i="4"/>
  <c r="T13" i="4"/>
  <c r="S13" i="4"/>
  <c r="R13" i="4"/>
  <c r="O13" i="4"/>
  <c r="N13" i="4"/>
  <c r="L13" i="4"/>
  <c r="K13" i="4"/>
  <c r="J13" i="4"/>
  <c r="I13" i="4"/>
  <c r="H13" i="4"/>
  <c r="G13" i="4"/>
  <c r="F13" i="4"/>
  <c r="E13" i="4"/>
  <c r="D13" i="4"/>
  <c r="C13" i="4"/>
  <c r="AH12" i="4"/>
  <c r="AG12" i="4"/>
  <c r="AF12" i="4"/>
  <c r="AE12" i="4"/>
  <c r="AD12" i="4"/>
  <c r="AC12" i="4"/>
  <c r="AB12" i="4"/>
  <c r="AA12" i="4"/>
  <c r="Z12" i="4"/>
  <c r="Y12" i="4"/>
  <c r="W12" i="4"/>
  <c r="V12" i="4"/>
  <c r="U12" i="4"/>
  <c r="T12" i="4"/>
  <c r="S12" i="4"/>
  <c r="R12" i="4"/>
  <c r="O12" i="4"/>
  <c r="N12" i="4"/>
  <c r="L12" i="4"/>
  <c r="K12" i="4"/>
  <c r="J12" i="4"/>
  <c r="I12" i="4"/>
  <c r="H12" i="4"/>
  <c r="G12" i="4"/>
  <c r="F12" i="4"/>
  <c r="E12" i="4"/>
  <c r="D12" i="4"/>
  <c r="C12" i="4"/>
  <c r="AH11" i="4"/>
  <c r="AG11" i="4"/>
  <c r="AF11" i="4"/>
  <c r="AE11" i="4"/>
  <c r="AD11" i="4"/>
  <c r="AC11" i="4"/>
  <c r="AB11" i="4"/>
  <c r="AA11" i="4"/>
  <c r="Z11" i="4"/>
  <c r="Y11" i="4"/>
  <c r="W11" i="4"/>
  <c r="V11" i="4"/>
  <c r="U11" i="4"/>
  <c r="T11" i="4"/>
  <c r="S11" i="4"/>
  <c r="R11" i="4"/>
  <c r="O11" i="4"/>
  <c r="N11" i="4"/>
  <c r="L11" i="4"/>
  <c r="K11" i="4"/>
  <c r="J11" i="4"/>
  <c r="I11" i="4"/>
  <c r="H11" i="4"/>
  <c r="G11" i="4"/>
  <c r="F11" i="4"/>
  <c r="E11" i="4"/>
  <c r="D11" i="4"/>
  <c r="C11" i="4"/>
  <c r="AH10" i="4"/>
  <c r="AG10" i="4"/>
  <c r="AF10" i="4"/>
  <c r="AE10" i="4"/>
  <c r="AD10" i="4"/>
  <c r="AC10" i="4"/>
  <c r="AB10" i="4"/>
  <c r="AA10" i="4"/>
  <c r="Z10" i="4"/>
  <c r="Y10" i="4"/>
  <c r="W10" i="4"/>
  <c r="V10" i="4"/>
  <c r="U10" i="4"/>
  <c r="T10" i="4"/>
  <c r="S10" i="4"/>
  <c r="R10" i="4"/>
  <c r="O10" i="4"/>
  <c r="N10" i="4"/>
  <c r="L10" i="4"/>
  <c r="K10" i="4"/>
  <c r="J10" i="4"/>
  <c r="I10" i="4"/>
  <c r="H10" i="4"/>
  <c r="G10" i="4"/>
  <c r="F10" i="4"/>
  <c r="E10" i="4"/>
  <c r="D10" i="4"/>
  <c r="C10" i="4"/>
  <c r="AH9" i="4"/>
  <c r="AG9" i="4"/>
  <c r="AF9" i="4"/>
  <c r="AE9" i="4"/>
  <c r="AD9" i="4"/>
  <c r="AC9" i="4"/>
  <c r="AB9" i="4"/>
  <c r="AA9" i="4"/>
  <c r="Z9" i="4"/>
  <c r="Y9" i="4"/>
  <c r="W9" i="4"/>
  <c r="V9" i="4"/>
  <c r="U9" i="4"/>
  <c r="T9" i="4"/>
  <c r="S9" i="4"/>
  <c r="R9" i="4"/>
  <c r="O9" i="4"/>
  <c r="N9" i="4"/>
  <c r="L9" i="4"/>
  <c r="K9" i="4"/>
  <c r="J9" i="4"/>
  <c r="I9" i="4"/>
  <c r="H9" i="4"/>
  <c r="G9" i="4"/>
  <c r="F9" i="4"/>
  <c r="E9" i="4"/>
  <c r="D9" i="4"/>
  <c r="C9" i="4"/>
  <c r="AH8" i="4"/>
  <c r="AG8" i="4"/>
  <c r="AF8" i="4"/>
  <c r="AE8" i="4"/>
  <c r="AD8" i="4"/>
  <c r="AC8" i="4"/>
  <c r="AB8" i="4"/>
  <c r="AA8" i="4"/>
  <c r="Z8" i="4"/>
  <c r="Y8" i="4"/>
  <c r="W8" i="4"/>
  <c r="V8" i="4"/>
  <c r="U8" i="4"/>
  <c r="T8" i="4"/>
  <c r="S8" i="4"/>
  <c r="R8" i="4"/>
  <c r="O8" i="4"/>
  <c r="N8" i="4"/>
  <c r="L8" i="4"/>
  <c r="K8" i="4"/>
  <c r="J8" i="4"/>
  <c r="I8" i="4"/>
  <c r="H8" i="4"/>
  <c r="G8" i="4"/>
  <c r="F8" i="4"/>
  <c r="E8" i="4"/>
  <c r="D8" i="4"/>
  <c r="C8" i="4"/>
  <c r="AH7" i="4"/>
  <c r="AG7" i="4"/>
  <c r="AF7" i="4"/>
  <c r="AE7" i="4"/>
  <c r="AD7" i="4"/>
  <c r="AD20" i="4" s="1"/>
  <c r="AC7" i="4"/>
  <c r="AC20" i="4" s="1"/>
  <c r="AB7" i="4"/>
  <c r="AA7" i="4"/>
  <c r="Z7" i="4"/>
  <c r="Y7" i="4"/>
  <c r="W7" i="4"/>
  <c r="V7" i="4"/>
  <c r="U7" i="4"/>
  <c r="U20" i="4" s="1"/>
  <c r="T7" i="4"/>
  <c r="T20" i="4" s="1"/>
  <c r="S7" i="4"/>
  <c r="R7" i="4"/>
  <c r="O7" i="4"/>
  <c r="N7" i="4"/>
  <c r="L7" i="4"/>
  <c r="L20" i="4" s="1"/>
  <c r="K7" i="4"/>
  <c r="K20" i="4" s="1"/>
  <c r="J7" i="4"/>
  <c r="I7" i="4"/>
  <c r="H7" i="4"/>
  <c r="G7" i="4"/>
  <c r="F7" i="4"/>
  <c r="E7" i="4"/>
  <c r="D7" i="4"/>
  <c r="D20" i="4" s="1"/>
  <c r="C7" i="4"/>
  <c r="C20" i="4" s="1"/>
  <c r="AH6" i="4"/>
  <c r="AG6" i="4"/>
  <c r="AF6" i="4"/>
  <c r="AE6" i="4"/>
  <c r="AD6" i="4"/>
  <c r="AC6" i="4"/>
  <c r="AB6" i="4"/>
  <c r="AA6" i="4"/>
  <c r="AA20" i="4" s="1"/>
  <c r="Z6" i="4"/>
  <c r="Y6" i="4"/>
  <c r="W6" i="4"/>
  <c r="V6" i="4"/>
  <c r="U6" i="4"/>
  <c r="T6" i="4"/>
  <c r="S6" i="4"/>
  <c r="R6" i="4"/>
  <c r="R20" i="4" s="1"/>
  <c r="O6" i="4"/>
  <c r="N6" i="4"/>
  <c r="L6" i="4"/>
  <c r="K6" i="4"/>
  <c r="J6" i="4"/>
  <c r="I6" i="4"/>
  <c r="I20" i="4" s="1"/>
  <c r="H6" i="4"/>
  <c r="G6" i="4"/>
  <c r="F6" i="4"/>
  <c r="E6" i="4"/>
  <c r="D6" i="4"/>
  <c r="C6" i="4"/>
  <c r="AH4" i="4"/>
  <c r="AH20" i="4" s="1"/>
  <c r="AG4" i="4"/>
  <c r="AG20" i="4" s="1"/>
  <c r="AF4" i="4"/>
  <c r="AF20" i="4" s="1"/>
  <c r="AE4" i="4"/>
  <c r="AE20" i="4" s="1"/>
  <c r="AD4" i="4"/>
  <c r="AC4" i="4"/>
  <c r="AB4" i="4"/>
  <c r="AB20" i="4" s="1"/>
  <c r="AA4" i="4"/>
  <c r="Z4" i="4"/>
  <c r="Z20" i="4" s="1"/>
  <c r="Y4" i="4"/>
  <c r="Y20" i="4" s="1"/>
  <c r="W4" i="4"/>
  <c r="W20" i="4" s="1"/>
  <c r="V4" i="4"/>
  <c r="V20" i="4" s="1"/>
  <c r="U4" i="4"/>
  <c r="T4" i="4"/>
  <c r="S4" i="4"/>
  <c r="S20" i="4" s="1"/>
  <c r="R4" i="4"/>
  <c r="O4" i="4"/>
  <c r="O20" i="4" s="1"/>
  <c r="N4" i="4"/>
  <c r="N20" i="4" s="1"/>
  <c r="L4" i="4"/>
  <c r="K4" i="4"/>
  <c r="J4" i="4"/>
  <c r="J20" i="4" s="1"/>
  <c r="I4" i="4"/>
  <c r="H4" i="4"/>
  <c r="H20" i="4" s="1"/>
  <c r="G4" i="4"/>
  <c r="G20" i="4" s="1"/>
  <c r="F4" i="4"/>
  <c r="F20" i="4" s="1"/>
  <c r="E4" i="4"/>
  <c r="E20" i="4" s="1"/>
  <c r="D4" i="4"/>
  <c r="C4" i="4"/>
  <c r="AH62" i="3" l="1"/>
  <c r="AG62" i="3"/>
  <c r="AF62" i="3"/>
  <c r="AE62" i="3"/>
  <c r="AD62" i="3"/>
  <c r="AC62" i="3"/>
  <c r="AB62" i="3"/>
  <c r="AA62" i="3"/>
  <c r="Z62" i="3"/>
  <c r="Y62" i="3"/>
  <c r="W62" i="3"/>
  <c r="V62" i="3"/>
  <c r="U62" i="3"/>
  <c r="T62" i="3"/>
  <c r="S62" i="3"/>
  <c r="R62" i="3"/>
  <c r="Q62" i="3"/>
  <c r="P62" i="3"/>
  <c r="O62" i="3"/>
  <c r="N62" i="3"/>
  <c r="L62" i="3"/>
  <c r="K62" i="3"/>
  <c r="J62" i="3"/>
  <c r="I62" i="3"/>
  <c r="H62" i="3"/>
  <c r="G62" i="3"/>
  <c r="F62" i="3"/>
  <c r="E62" i="3"/>
  <c r="D62" i="3"/>
  <c r="C62" i="3"/>
  <c r="AH61" i="3"/>
  <c r="AG61" i="3"/>
  <c r="AF61" i="3"/>
  <c r="AE61" i="3"/>
  <c r="AD61" i="3"/>
  <c r="AC61" i="3"/>
  <c r="AB61" i="3"/>
  <c r="AA61" i="3"/>
  <c r="Z61" i="3"/>
  <c r="Y61" i="3"/>
  <c r="W61" i="3"/>
  <c r="V61" i="3"/>
  <c r="U61" i="3"/>
  <c r="T61" i="3"/>
  <c r="S61" i="3"/>
  <c r="R61" i="3"/>
  <c r="Q61" i="3"/>
  <c r="P61" i="3"/>
  <c r="O61" i="3"/>
  <c r="N61" i="3"/>
  <c r="L61" i="3"/>
  <c r="K61" i="3"/>
  <c r="J61" i="3"/>
  <c r="I61" i="3"/>
  <c r="H61" i="3"/>
  <c r="G61" i="3"/>
  <c r="F61" i="3"/>
  <c r="E61" i="3"/>
  <c r="D61" i="3"/>
  <c r="C61" i="3"/>
  <c r="AH60" i="3"/>
  <c r="AG60" i="3"/>
  <c r="AF60" i="3"/>
  <c r="AE60" i="3"/>
  <c r="AD60" i="3"/>
  <c r="AC60" i="3"/>
  <c r="AB60" i="3"/>
  <c r="AA60" i="3"/>
  <c r="Z60" i="3"/>
  <c r="Y60" i="3"/>
  <c r="W60" i="3"/>
  <c r="V60" i="3"/>
  <c r="U60" i="3"/>
  <c r="T60" i="3"/>
  <c r="S60" i="3"/>
  <c r="R60" i="3"/>
  <c r="Q60" i="3"/>
  <c r="P60" i="3"/>
  <c r="O60" i="3"/>
  <c r="N60" i="3"/>
  <c r="L60" i="3"/>
  <c r="K60" i="3"/>
  <c r="J60" i="3"/>
  <c r="I60" i="3"/>
  <c r="H60" i="3"/>
  <c r="G60" i="3"/>
  <c r="F60" i="3"/>
  <c r="E60" i="3"/>
  <c r="D60" i="3"/>
  <c r="C60" i="3"/>
  <c r="AH59" i="3"/>
  <c r="AG59" i="3"/>
  <c r="AF59" i="3"/>
  <c r="AE59" i="3"/>
  <c r="AD59" i="3"/>
  <c r="AC59" i="3"/>
  <c r="AB59" i="3"/>
  <c r="AA59" i="3"/>
  <c r="Z59" i="3"/>
  <c r="Y59" i="3"/>
  <c r="W59" i="3"/>
  <c r="V59" i="3"/>
  <c r="U59" i="3"/>
  <c r="T59" i="3"/>
  <c r="S59" i="3"/>
  <c r="R59" i="3"/>
  <c r="Q59" i="3"/>
  <c r="P59" i="3"/>
  <c r="O59" i="3"/>
  <c r="N59" i="3"/>
  <c r="L59" i="3"/>
  <c r="K59" i="3"/>
  <c r="J59" i="3"/>
  <c r="I59" i="3"/>
  <c r="H59" i="3"/>
  <c r="G59" i="3"/>
  <c r="F59" i="3"/>
  <c r="E59" i="3"/>
  <c r="D59" i="3"/>
  <c r="C59" i="3"/>
  <c r="AH58" i="3"/>
  <c r="AG58" i="3"/>
  <c r="AF58" i="3"/>
  <c r="AE58" i="3"/>
  <c r="AD58" i="3"/>
  <c r="AC58" i="3"/>
  <c r="AB58" i="3"/>
  <c r="AA58" i="3"/>
  <c r="Z58" i="3"/>
  <c r="Y58" i="3"/>
  <c r="W58" i="3"/>
  <c r="V58" i="3"/>
  <c r="U58" i="3"/>
  <c r="T58" i="3"/>
  <c r="S58" i="3"/>
  <c r="R58" i="3"/>
  <c r="Q58" i="3"/>
  <c r="P58" i="3"/>
  <c r="O58" i="3"/>
  <c r="N58" i="3"/>
  <c r="L58" i="3"/>
  <c r="K58" i="3"/>
  <c r="J58" i="3"/>
  <c r="I58" i="3"/>
  <c r="H58" i="3"/>
  <c r="G58" i="3"/>
  <c r="F58" i="3"/>
  <c r="E58" i="3"/>
  <c r="D58" i="3"/>
  <c r="C58" i="3"/>
  <c r="AH57" i="3"/>
  <c r="AG57" i="3"/>
  <c r="AF57" i="3"/>
  <c r="AE57" i="3"/>
  <c r="AD57" i="3"/>
  <c r="AC57" i="3"/>
  <c r="AB57" i="3"/>
  <c r="AA57" i="3"/>
  <c r="Z57" i="3"/>
  <c r="Y57" i="3"/>
  <c r="W57" i="3"/>
  <c r="V57" i="3"/>
  <c r="U57" i="3"/>
  <c r="T57" i="3"/>
  <c r="S57" i="3"/>
  <c r="R57" i="3"/>
  <c r="Q57" i="3"/>
  <c r="P57" i="3"/>
  <c r="O57" i="3"/>
  <c r="N57" i="3"/>
  <c r="L57" i="3"/>
  <c r="K57" i="3"/>
  <c r="J57" i="3"/>
  <c r="I57" i="3"/>
  <c r="H57" i="3"/>
  <c r="G57" i="3"/>
  <c r="F57" i="3"/>
  <c r="E57" i="3"/>
  <c r="D57" i="3"/>
  <c r="C57" i="3"/>
  <c r="AH56" i="3"/>
  <c r="AG56" i="3"/>
  <c r="AF56" i="3"/>
  <c r="AE56" i="3"/>
  <c r="AD56" i="3"/>
  <c r="AC56" i="3"/>
  <c r="AB56" i="3"/>
  <c r="AA56" i="3"/>
  <c r="Z56" i="3"/>
  <c r="Y56" i="3"/>
  <c r="W56" i="3"/>
  <c r="V56" i="3"/>
  <c r="U56" i="3"/>
  <c r="T56" i="3"/>
  <c r="S56" i="3"/>
  <c r="R56" i="3"/>
  <c r="Q56" i="3"/>
  <c r="P56" i="3"/>
  <c r="O56" i="3"/>
  <c r="N56" i="3"/>
  <c r="L56" i="3"/>
  <c r="K56" i="3"/>
  <c r="J56" i="3"/>
  <c r="I56" i="3"/>
  <c r="H56" i="3"/>
  <c r="G56" i="3"/>
  <c r="F56" i="3"/>
  <c r="E56" i="3"/>
  <c r="D56" i="3"/>
  <c r="C56" i="3"/>
  <c r="AH55" i="3"/>
  <c r="AG55" i="3"/>
  <c r="AF55" i="3"/>
  <c r="AE55" i="3"/>
  <c r="AD55" i="3"/>
  <c r="AC55" i="3"/>
  <c r="AB55" i="3"/>
  <c r="AA55" i="3"/>
  <c r="Z55" i="3"/>
  <c r="Y55" i="3"/>
  <c r="W55" i="3"/>
  <c r="V55" i="3"/>
  <c r="U55" i="3"/>
  <c r="T55" i="3"/>
  <c r="S55" i="3"/>
  <c r="R55" i="3"/>
  <c r="Q55" i="3"/>
  <c r="P55" i="3"/>
  <c r="O55" i="3"/>
  <c r="N55" i="3"/>
  <c r="L55" i="3"/>
  <c r="K55" i="3"/>
  <c r="J55" i="3"/>
  <c r="I55" i="3"/>
  <c r="H55" i="3"/>
  <c r="G55" i="3"/>
  <c r="F55" i="3"/>
  <c r="E55" i="3"/>
  <c r="D55" i="3"/>
  <c r="C55" i="3"/>
  <c r="AH54" i="3"/>
  <c r="AG54" i="3"/>
  <c r="AF54" i="3"/>
  <c r="AE54" i="3"/>
  <c r="AD54" i="3"/>
  <c r="AC54" i="3"/>
  <c r="AB54" i="3"/>
  <c r="AA54" i="3"/>
  <c r="Z54" i="3"/>
  <c r="Y54" i="3"/>
  <c r="W54" i="3"/>
  <c r="V54" i="3"/>
  <c r="U54" i="3"/>
  <c r="T54" i="3"/>
  <c r="S54" i="3"/>
  <c r="R54" i="3"/>
  <c r="Q54" i="3"/>
  <c r="P54" i="3"/>
  <c r="O54" i="3"/>
  <c r="N54" i="3"/>
  <c r="L54" i="3"/>
  <c r="K54" i="3"/>
  <c r="J54" i="3"/>
  <c r="I54" i="3"/>
  <c r="H54" i="3"/>
  <c r="G54" i="3"/>
  <c r="F54" i="3"/>
  <c r="E54" i="3"/>
  <c r="D54" i="3"/>
  <c r="C54" i="3"/>
  <c r="AH53" i="3"/>
  <c r="AG53" i="3"/>
  <c r="AF53" i="3"/>
  <c r="AE53" i="3"/>
  <c r="AD53" i="3"/>
  <c r="AC53" i="3"/>
  <c r="AB53" i="3"/>
  <c r="AA53" i="3"/>
  <c r="Z53" i="3"/>
  <c r="Y53" i="3"/>
  <c r="W53" i="3"/>
  <c r="V53" i="3"/>
  <c r="U53" i="3"/>
  <c r="T53" i="3"/>
  <c r="S53" i="3"/>
  <c r="R53" i="3"/>
  <c r="Q53" i="3"/>
  <c r="P53" i="3"/>
  <c r="O53" i="3"/>
  <c r="N53" i="3"/>
  <c r="L53" i="3"/>
  <c r="K53" i="3"/>
  <c r="J53" i="3"/>
  <c r="I53" i="3"/>
  <c r="H53" i="3"/>
  <c r="G53" i="3"/>
  <c r="F53" i="3"/>
  <c r="E53" i="3"/>
  <c r="D53" i="3"/>
  <c r="C53" i="3"/>
  <c r="AH52" i="3"/>
  <c r="AG52" i="3"/>
  <c r="AF52" i="3"/>
  <c r="AE52" i="3"/>
  <c r="AD52" i="3"/>
  <c r="AC52" i="3"/>
  <c r="AB52" i="3"/>
  <c r="AA52" i="3"/>
  <c r="Z52" i="3"/>
  <c r="Y52" i="3"/>
  <c r="W52" i="3"/>
  <c r="V52" i="3"/>
  <c r="U52" i="3"/>
  <c r="T52" i="3"/>
  <c r="S52" i="3"/>
  <c r="R52" i="3"/>
  <c r="Q52" i="3"/>
  <c r="P52" i="3"/>
  <c r="O52" i="3"/>
  <c r="N52" i="3"/>
  <c r="L52" i="3"/>
  <c r="K52" i="3"/>
  <c r="J52" i="3"/>
  <c r="I52" i="3"/>
  <c r="H52" i="3"/>
  <c r="G52" i="3"/>
  <c r="F52" i="3"/>
  <c r="E52" i="3"/>
  <c r="D52" i="3"/>
  <c r="C52" i="3"/>
  <c r="AH51" i="3"/>
  <c r="AH64" i="3" s="1"/>
  <c r="AG51" i="3"/>
  <c r="AF51" i="3"/>
  <c r="AE51" i="3"/>
  <c r="AD51" i="3"/>
  <c r="AC51" i="3"/>
  <c r="AB51" i="3"/>
  <c r="AA51" i="3"/>
  <c r="Z51" i="3"/>
  <c r="Z64" i="3" s="1"/>
  <c r="Y51" i="3"/>
  <c r="W51" i="3"/>
  <c r="V51" i="3"/>
  <c r="U51" i="3"/>
  <c r="T51" i="3"/>
  <c r="S51" i="3"/>
  <c r="R51" i="3"/>
  <c r="Q51" i="3"/>
  <c r="Q64" i="3" s="1"/>
  <c r="P51" i="3"/>
  <c r="O51" i="3"/>
  <c r="N51" i="3"/>
  <c r="L51" i="3"/>
  <c r="K51" i="3"/>
  <c r="J51" i="3"/>
  <c r="I51" i="3"/>
  <c r="H51" i="3"/>
  <c r="H64" i="3" s="1"/>
  <c r="G51" i="3"/>
  <c r="F51" i="3"/>
  <c r="E51" i="3"/>
  <c r="D51" i="3"/>
  <c r="C51" i="3"/>
  <c r="AH50" i="3"/>
  <c r="AG50" i="3"/>
  <c r="AG64" i="3" s="1"/>
  <c r="AF50" i="3"/>
  <c r="AE50" i="3"/>
  <c r="AD50" i="3"/>
  <c r="AC50" i="3"/>
  <c r="AB50" i="3"/>
  <c r="AA50" i="3"/>
  <c r="Z50" i="3"/>
  <c r="Y50" i="3"/>
  <c r="Y64" i="3" s="1"/>
  <c r="W50" i="3"/>
  <c r="V50" i="3"/>
  <c r="U50" i="3"/>
  <c r="T50" i="3"/>
  <c r="S50" i="3"/>
  <c r="R50" i="3"/>
  <c r="Q50" i="3"/>
  <c r="P50" i="3"/>
  <c r="P64" i="3" s="1"/>
  <c r="O50" i="3"/>
  <c r="N50" i="3"/>
  <c r="L50" i="3"/>
  <c r="K50" i="3"/>
  <c r="J50" i="3"/>
  <c r="I50" i="3"/>
  <c r="H50" i="3"/>
  <c r="G50" i="3"/>
  <c r="G64" i="3" s="1"/>
  <c r="F50" i="3"/>
  <c r="E50" i="3"/>
  <c r="D50" i="3"/>
  <c r="C50" i="3"/>
  <c r="AH49" i="3"/>
  <c r="AG49" i="3"/>
  <c r="AF49" i="3"/>
  <c r="AE49" i="3"/>
  <c r="AD49" i="3"/>
  <c r="AC49" i="3"/>
  <c r="AB49" i="3"/>
  <c r="AA49" i="3"/>
  <c r="Z49" i="3"/>
  <c r="Y49" i="3"/>
  <c r="W49" i="3"/>
  <c r="V49" i="3"/>
  <c r="U49" i="3"/>
  <c r="T49" i="3"/>
  <c r="S49" i="3"/>
  <c r="R49" i="3"/>
  <c r="Q49" i="3"/>
  <c r="P49" i="3"/>
  <c r="O49" i="3"/>
  <c r="N49" i="3"/>
  <c r="L49" i="3"/>
  <c r="K49" i="3"/>
  <c r="J49" i="3"/>
  <c r="I49" i="3"/>
  <c r="H49" i="3"/>
  <c r="G49" i="3"/>
  <c r="F49" i="3"/>
  <c r="E49" i="3"/>
  <c r="D49" i="3"/>
  <c r="C49" i="3"/>
  <c r="AH48" i="3"/>
  <c r="AG48" i="3"/>
  <c r="AF48" i="3"/>
  <c r="AF64" i="3" s="1"/>
  <c r="AE48" i="3"/>
  <c r="AE64" i="3" s="1"/>
  <c r="AD48" i="3"/>
  <c r="AD64" i="3" s="1"/>
  <c r="AC48" i="3"/>
  <c r="AC64" i="3" s="1"/>
  <c r="AB48" i="3"/>
  <c r="AB64" i="3" s="1"/>
  <c r="AA48" i="3"/>
  <c r="AA64" i="3" s="1"/>
  <c r="Z48" i="3"/>
  <c r="Y48" i="3"/>
  <c r="W48" i="3"/>
  <c r="W64" i="3" s="1"/>
  <c r="V48" i="3"/>
  <c r="V64" i="3" s="1"/>
  <c r="U48" i="3"/>
  <c r="U64" i="3" s="1"/>
  <c r="T48" i="3"/>
  <c r="T64" i="3" s="1"/>
  <c r="S48" i="3"/>
  <c r="S64" i="3" s="1"/>
  <c r="R48" i="3"/>
  <c r="R64" i="3" s="1"/>
  <c r="Q48" i="3"/>
  <c r="P48" i="3"/>
  <c r="O48" i="3"/>
  <c r="O64" i="3" s="1"/>
  <c r="N48" i="3"/>
  <c r="N64" i="3" s="1"/>
  <c r="L48" i="3"/>
  <c r="L64" i="3" s="1"/>
  <c r="K48" i="3"/>
  <c r="K64" i="3" s="1"/>
  <c r="J48" i="3"/>
  <c r="J64" i="3" s="1"/>
  <c r="I48" i="3"/>
  <c r="I64" i="3" s="1"/>
  <c r="H48" i="3"/>
  <c r="G48" i="3"/>
  <c r="F48" i="3"/>
  <c r="F64" i="3" s="1"/>
  <c r="E48" i="3"/>
  <c r="E64" i="3" s="1"/>
  <c r="D48" i="3"/>
  <c r="D64" i="3" s="1"/>
  <c r="C48" i="3"/>
  <c r="C64" i="3" s="1"/>
  <c r="AH40" i="3"/>
  <c r="AG40" i="3"/>
  <c r="AF40" i="3"/>
  <c r="AE40" i="3"/>
  <c r="AD40" i="3"/>
  <c r="AC40" i="3"/>
  <c r="AB40" i="3"/>
  <c r="AA40" i="3"/>
  <c r="Z40" i="3"/>
  <c r="W40" i="3"/>
  <c r="V40" i="3"/>
  <c r="U40" i="3"/>
  <c r="T40" i="3"/>
  <c r="S40" i="3"/>
  <c r="R40" i="3"/>
  <c r="Q40" i="3"/>
  <c r="P40" i="3"/>
  <c r="O40" i="3"/>
  <c r="N40" i="3"/>
  <c r="L40" i="3"/>
  <c r="K40" i="3"/>
  <c r="I40" i="3"/>
  <c r="H40" i="3"/>
  <c r="G40" i="3"/>
  <c r="F40" i="3"/>
  <c r="E40" i="3"/>
  <c r="D40" i="3"/>
  <c r="C40" i="3"/>
  <c r="AH39" i="3"/>
  <c r="AG39" i="3"/>
  <c r="AF39" i="3"/>
  <c r="AE39" i="3"/>
  <c r="AD39" i="3"/>
  <c r="AC39" i="3"/>
  <c r="AB39" i="3"/>
  <c r="AA39" i="3"/>
  <c r="Z39" i="3"/>
  <c r="W39" i="3"/>
  <c r="V39" i="3"/>
  <c r="U39" i="3"/>
  <c r="T39" i="3"/>
  <c r="S39" i="3"/>
  <c r="R39" i="3"/>
  <c r="Q39" i="3"/>
  <c r="P39" i="3"/>
  <c r="O39" i="3"/>
  <c r="N39" i="3"/>
  <c r="L39" i="3"/>
  <c r="K39" i="3"/>
  <c r="I39" i="3"/>
  <c r="H39" i="3"/>
  <c r="G39" i="3"/>
  <c r="F39" i="3"/>
  <c r="E39" i="3"/>
  <c r="D39" i="3"/>
  <c r="C39" i="3"/>
  <c r="AH38" i="3"/>
  <c r="AG38" i="3"/>
  <c r="AF38" i="3"/>
  <c r="AE38" i="3"/>
  <c r="AD38" i="3"/>
  <c r="AC38" i="3"/>
  <c r="AB38" i="3"/>
  <c r="AA38" i="3"/>
  <c r="Z38" i="3"/>
  <c r="W38" i="3"/>
  <c r="V38" i="3"/>
  <c r="U38" i="3"/>
  <c r="T38" i="3"/>
  <c r="S38" i="3"/>
  <c r="R38" i="3"/>
  <c r="Q38" i="3"/>
  <c r="P38" i="3"/>
  <c r="O38" i="3"/>
  <c r="N38" i="3"/>
  <c r="L38" i="3"/>
  <c r="K38" i="3"/>
  <c r="I38" i="3"/>
  <c r="H38" i="3"/>
  <c r="G38" i="3"/>
  <c r="F38" i="3"/>
  <c r="E38" i="3"/>
  <c r="D38" i="3"/>
  <c r="C38" i="3"/>
  <c r="AH37" i="3"/>
  <c r="AG37" i="3"/>
  <c r="AF37" i="3"/>
  <c r="AE37" i="3"/>
  <c r="AD37" i="3"/>
  <c r="AC37" i="3"/>
  <c r="AB37" i="3"/>
  <c r="AA37" i="3"/>
  <c r="Z37" i="3"/>
  <c r="W37" i="3"/>
  <c r="V37" i="3"/>
  <c r="U37" i="3"/>
  <c r="T37" i="3"/>
  <c r="S37" i="3"/>
  <c r="R37" i="3"/>
  <c r="Q37" i="3"/>
  <c r="P37" i="3"/>
  <c r="O37" i="3"/>
  <c r="N37" i="3"/>
  <c r="L37" i="3"/>
  <c r="K37" i="3"/>
  <c r="I37" i="3"/>
  <c r="H37" i="3"/>
  <c r="G37" i="3"/>
  <c r="F37" i="3"/>
  <c r="E37" i="3"/>
  <c r="D37" i="3"/>
  <c r="C37" i="3"/>
  <c r="AH36" i="3"/>
  <c r="AG36" i="3"/>
  <c r="AF36" i="3"/>
  <c r="AE36" i="3"/>
  <c r="AD36" i="3"/>
  <c r="AC36" i="3"/>
  <c r="AB36" i="3"/>
  <c r="AA36" i="3"/>
  <c r="Z36" i="3"/>
  <c r="W36" i="3"/>
  <c r="V36" i="3"/>
  <c r="U36" i="3"/>
  <c r="T36" i="3"/>
  <c r="S36" i="3"/>
  <c r="R36" i="3"/>
  <c r="Q36" i="3"/>
  <c r="P36" i="3"/>
  <c r="O36" i="3"/>
  <c r="N36" i="3"/>
  <c r="L36" i="3"/>
  <c r="K36" i="3"/>
  <c r="I36" i="3"/>
  <c r="H36" i="3"/>
  <c r="G36" i="3"/>
  <c r="F36" i="3"/>
  <c r="E36" i="3"/>
  <c r="D36" i="3"/>
  <c r="C36" i="3"/>
  <c r="AH35" i="3"/>
  <c r="AG35" i="3"/>
  <c r="AF35" i="3"/>
  <c r="AE35" i="3"/>
  <c r="AD35" i="3"/>
  <c r="AC35" i="3"/>
  <c r="AB35" i="3"/>
  <c r="AA35" i="3"/>
  <c r="Z35" i="3"/>
  <c r="W35" i="3"/>
  <c r="V35" i="3"/>
  <c r="U35" i="3"/>
  <c r="T35" i="3"/>
  <c r="S35" i="3"/>
  <c r="R35" i="3"/>
  <c r="Q35" i="3"/>
  <c r="P35" i="3"/>
  <c r="O35" i="3"/>
  <c r="N35" i="3"/>
  <c r="L35" i="3"/>
  <c r="K35" i="3"/>
  <c r="I35" i="3"/>
  <c r="H35" i="3"/>
  <c r="G35" i="3"/>
  <c r="F35" i="3"/>
  <c r="E35" i="3"/>
  <c r="D35" i="3"/>
  <c r="C35" i="3"/>
  <c r="AH34" i="3"/>
  <c r="AG34" i="3"/>
  <c r="AF34" i="3"/>
  <c r="AE34" i="3"/>
  <c r="AD34" i="3"/>
  <c r="AC34" i="3"/>
  <c r="AB34" i="3"/>
  <c r="AA34" i="3"/>
  <c r="Z34" i="3"/>
  <c r="W34" i="3"/>
  <c r="V34" i="3"/>
  <c r="U34" i="3"/>
  <c r="T34" i="3"/>
  <c r="S34" i="3"/>
  <c r="R34" i="3"/>
  <c r="Q34" i="3"/>
  <c r="P34" i="3"/>
  <c r="O34" i="3"/>
  <c r="N34" i="3"/>
  <c r="L34" i="3"/>
  <c r="K34" i="3"/>
  <c r="I34" i="3"/>
  <c r="H34" i="3"/>
  <c r="G34" i="3"/>
  <c r="F34" i="3"/>
  <c r="E34" i="3"/>
  <c r="D34" i="3"/>
  <c r="C34" i="3"/>
  <c r="AH33" i="3"/>
  <c r="AG33" i="3"/>
  <c r="AF33" i="3"/>
  <c r="AE33" i="3"/>
  <c r="AD33" i="3"/>
  <c r="AC33" i="3"/>
  <c r="AB33" i="3"/>
  <c r="AA33" i="3"/>
  <c r="Z33" i="3"/>
  <c r="W33" i="3"/>
  <c r="V33" i="3"/>
  <c r="U33" i="3"/>
  <c r="T33" i="3"/>
  <c r="S33" i="3"/>
  <c r="R33" i="3"/>
  <c r="Q33" i="3"/>
  <c r="P33" i="3"/>
  <c r="O33" i="3"/>
  <c r="N33" i="3"/>
  <c r="L33" i="3"/>
  <c r="K33" i="3"/>
  <c r="I33" i="3"/>
  <c r="H33" i="3"/>
  <c r="G33" i="3"/>
  <c r="F33" i="3"/>
  <c r="E33" i="3"/>
  <c r="D33" i="3"/>
  <c r="C33" i="3"/>
  <c r="AH32" i="3"/>
  <c r="AG32" i="3"/>
  <c r="AF32" i="3"/>
  <c r="AE32" i="3"/>
  <c r="AD32" i="3"/>
  <c r="AC32" i="3"/>
  <c r="AB32" i="3"/>
  <c r="AA32" i="3"/>
  <c r="Z32" i="3"/>
  <c r="W32" i="3"/>
  <c r="V32" i="3"/>
  <c r="U32" i="3"/>
  <c r="T32" i="3"/>
  <c r="S32" i="3"/>
  <c r="R32" i="3"/>
  <c r="Q32" i="3"/>
  <c r="P32" i="3"/>
  <c r="O32" i="3"/>
  <c r="N32" i="3"/>
  <c r="L32" i="3"/>
  <c r="K32" i="3"/>
  <c r="I32" i="3"/>
  <c r="H32" i="3"/>
  <c r="G32" i="3"/>
  <c r="F32" i="3"/>
  <c r="E32" i="3"/>
  <c r="D32" i="3"/>
  <c r="C32" i="3"/>
  <c r="AH31" i="3"/>
  <c r="AG31" i="3"/>
  <c r="AF31" i="3"/>
  <c r="AE31" i="3"/>
  <c r="AD31" i="3"/>
  <c r="AC31" i="3"/>
  <c r="AB31" i="3"/>
  <c r="AA31" i="3"/>
  <c r="Z31" i="3"/>
  <c r="W31" i="3"/>
  <c r="V31" i="3"/>
  <c r="U31" i="3"/>
  <c r="T31" i="3"/>
  <c r="S31" i="3"/>
  <c r="R31" i="3"/>
  <c r="Q31" i="3"/>
  <c r="P31" i="3"/>
  <c r="O31" i="3"/>
  <c r="N31" i="3"/>
  <c r="L31" i="3"/>
  <c r="K31" i="3"/>
  <c r="I31" i="3"/>
  <c r="H31" i="3"/>
  <c r="G31" i="3"/>
  <c r="F31" i="3"/>
  <c r="E31" i="3"/>
  <c r="D31" i="3"/>
  <c r="C31" i="3"/>
  <c r="AH30" i="3"/>
  <c r="AG30" i="3"/>
  <c r="AF30" i="3"/>
  <c r="AE30" i="3"/>
  <c r="AD30" i="3"/>
  <c r="AC30" i="3"/>
  <c r="AB30" i="3"/>
  <c r="AA30" i="3"/>
  <c r="Z30" i="3"/>
  <c r="W30" i="3"/>
  <c r="V30" i="3"/>
  <c r="U30" i="3"/>
  <c r="T30" i="3"/>
  <c r="S30" i="3"/>
  <c r="R30" i="3"/>
  <c r="Q30" i="3"/>
  <c r="P30" i="3"/>
  <c r="O30" i="3"/>
  <c r="N30" i="3"/>
  <c r="L30" i="3"/>
  <c r="K30" i="3"/>
  <c r="I30" i="3"/>
  <c r="H30" i="3"/>
  <c r="G30" i="3"/>
  <c r="F30" i="3"/>
  <c r="E30" i="3"/>
  <c r="D30" i="3"/>
  <c r="C30" i="3"/>
  <c r="AH29" i="3"/>
  <c r="AG29" i="3"/>
  <c r="AF29" i="3"/>
  <c r="AF42" i="3" s="1"/>
  <c r="AE29" i="3"/>
  <c r="AE42" i="3" s="1"/>
  <c r="AD29" i="3"/>
  <c r="AC29" i="3"/>
  <c r="AB29" i="3"/>
  <c r="AA29" i="3"/>
  <c r="Z29" i="3"/>
  <c r="W29" i="3"/>
  <c r="W42" i="3" s="1"/>
  <c r="V29" i="3"/>
  <c r="V42" i="3" s="1"/>
  <c r="U29" i="3"/>
  <c r="T29" i="3"/>
  <c r="S29" i="3"/>
  <c r="R29" i="3"/>
  <c r="Q29" i="3"/>
  <c r="P29" i="3"/>
  <c r="O29" i="3"/>
  <c r="O42" i="3" s="1"/>
  <c r="N29" i="3"/>
  <c r="N42" i="3" s="1"/>
  <c r="L29" i="3"/>
  <c r="K29" i="3"/>
  <c r="I29" i="3"/>
  <c r="H29" i="3"/>
  <c r="G29" i="3"/>
  <c r="F29" i="3"/>
  <c r="F42" i="3" s="1"/>
  <c r="E29" i="3"/>
  <c r="E42" i="3" s="1"/>
  <c r="D29" i="3"/>
  <c r="C29" i="3"/>
  <c r="AH28" i="3"/>
  <c r="AG28" i="3"/>
  <c r="AF28" i="3"/>
  <c r="AE28" i="3"/>
  <c r="AD28" i="3"/>
  <c r="AC28" i="3"/>
  <c r="AB28" i="3"/>
  <c r="AA28" i="3"/>
  <c r="Z28" i="3"/>
  <c r="W28" i="3"/>
  <c r="V28" i="3"/>
  <c r="U28" i="3"/>
  <c r="T28" i="3"/>
  <c r="S28" i="3"/>
  <c r="R28" i="3"/>
  <c r="Q28" i="3"/>
  <c r="P28" i="3"/>
  <c r="O28" i="3"/>
  <c r="N28" i="3"/>
  <c r="L28" i="3"/>
  <c r="K28" i="3"/>
  <c r="I28" i="3"/>
  <c r="H28" i="3"/>
  <c r="G28" i="3"/>
  <c r="F28" i="3"/>
  <c r="E28" i="3"/>
  <c r="D28" i="3"/>
  <c r="C28" i="3"/>
  <c r="AH27" i="3"/>
  <c r="AG27" i="3"/>
  <c r="AF27" i="3"/>
  <c r="AE27" i="3"/>
  <c r="AD27" i="3"/>
  <c r="AC27" i="3"/>
  <c r="AB27" i="3"/>
  <c r="AA27" i="3"/>
  <c r="Z27" i="3"/>
  <c r="W27" i="3"/>
  <c r="V27" i="3"/>
  <c r="U27" i="3"/>
  <c r="T27" i="3"/>
  <c r="S27" i="3"/>
  <c r="R27" i="3"/>
  <c r="Q27" i="3"/>
  <c r="P27" i="3"/>
  <c r="O27" i="3"/>
  <c r="N27" i="3"/>
  <c r="L27" i="3"/>
  <c r="K27" i="3"/>
  <c r="I27" i="3"/>
  <c r="H27" i="3"/>
  <c r="G27" i="3"/>
  <c r="F27" i="3"/>
  <c r="E27" i="3"/>
  <c r="D27" i="3"/>
  <c r="C27" i="3"/>
  <c r="AH26" i="3"/>
  <c r="AH42" i="3" s="1"/>
  <c r="AG26" i="3"/>
  <c r="AG42" i="3" s="1"/>
  <c r="AF26" i="3"/>
  <c r="AE26" i="3"/>
  <c r="AD26" i="3"/>
  <c r="AD42" i="3" s="1"/>
  <c r="AC26" i="3"/>
  <c r="AC42" i="3" s="1"/>
  <c r="AB26" i="3"/>
  <c r="AB42" i="3" s="1"/>
  <c r="AA26" i="3"/>
  <c r="AA42" i="3" s="1"/>
  <c r="Z26" i="3"/>
  <c r="Z42" i="3" s="1"/>
  <c r="W26" i="3"/>
  <c r="V26" i="3"/>
  <c r="U26" i="3"/>
  <c r="U42" i="3" s="1"/>
  <c r="T26" i="3"/>
  <c r="T42" i="3" s="1"/>
  <c r="S26" i="3"/>
  <c r="S42" i="3" s="1"/>
  <c r="R26" i="3"/>
  <c r="R42" i="3" s="1"/>
  <c r="Q26" i="3"/>
  <c r="Q42" i="3" s="1"/>
  <c r="P26" i="3"/>
  <c r="P42" i="3" s="1"/>
  <c r="O26" i="3"/>
  <c r="N26" i="3"/>
  <c r="L26" i="3"/>
  <c r="L42" i="3" s="1"/>
  <c r="K26" i="3"/>
  <c r="K42" i="3" s="1"/>
  <c r="I26" i="3"/>
  <c r="I42" i="3" s="1"/>
  <c r="H26" i="3"/>
  <c r="H42" i="3" s="1"/>
  <c r="G26" i="3"/>
  <c r="G42" i="3" s="1"/>
  <c r="F26" i="3"/>
  <c r="E26" i="3"/>
  <c r="D26" i="3"/>
  <c r="D42" i="3" s="1"/>
  <c r="C26" i="3"/>
  <c r="C42" i="3" s="1"/>
  <c r="AH18" i="3"/>
  <c r="AG18" i="3"/>
  <c r="AF18" i="3"/>
  <c r="AE18" i="3"/>
  <c r="AD18" i="3"/>
  <c r="AC18" i="3"/>
  <c r="AB18" i="3"/>
  <c r="AA18" i="3"/>
  <c r="Z18" i="3"/>
  <c r="Y18" i="3"/>
  <c r="W18" i="3"/>
  <c r="V18" i="3"/>
  <c r="U18" i="3"/>
  <c r="T18" i="3"/>
  <c r="S18" i="3"/>
  <c r="R18" i="3"/>
  <c r="Q18" i="3"/>
  <c r="P18" i="3"/>
  <c r="O18" i="3"/>
  <c r="N18" i="3"/>
  <c r="L18" i="3"/>
  <c r="K18" i="3"/>
  <c r="J18" i="3"/>
  <c r="I18" i="3"/>
  <c r="H18" i="3"/>
  <c r="G18" i="3"/>
  <c r="E18" i="3"/>
  <c r="D18" i="3"/>
  <c r="C18" i="3"/>
  <c r="AH17" i="3"/>
  <c r="AG17" i="3"/>
  <c r="AF17" i="3"/>
  <c r="AE17" i="3"/>
  <c r="AD17" i="3"/>
  <c r="AC17" i="3"/>
  <c r="AB17" i="3"/>
  <c r="AA17" i="3"/>
  <c r="Z17" i="3"/>
  <c r="Y17" i="3"/>
  <c r="W17" i="3"/>
  <c r="V17" i="3"/>
  <c r="U17" i="3"/>
  <c r="T17" i="3"/>
  <c r="S17" i="3"/>
  <c r="R17" i="3"/>
  <c r="Q17" i="3"/>
  <c r="P17" i="3"/>
  <c r="O17" i="3"/>
  <c r="N17" i="3"/>
  <c r="L17" i="3"/>
  <c r="K17" i="3"/>
  <c r="J17" i="3"/>
  <c r="I17" i="3"/>
  <c r="H17" i="3"/>
  <c r="G17" i="3"/>
  <c r="E17" i="3"/>
  <c r="D17" i="3"/>
  <c r="C17" i="3"/>
  <c r="AH16" i="3"/>
  <c r="AG16" i="3"/>
  <c r="AF16" i="3"/>
  <c r="AE16" i="3"/>
  <c r="AD16" i="3"/>
  <c r="AC16" i="3"/>
  <c r="AB16" i="3"/>
  <c r="AA16" i="3"/>
  <c r="Z16" i="3"/>
  <c r="Y16" i="3"/>
  <c r="W16" i="3"/>
  <c r="V16" i="3"/>
  <c r="U16" i="3"/>
  <c r="T16" i="3"/>
  <c r="S16" i="3"/>
  <c r="R16" i="3"/>
  <c r="Q16" i="3"/>
  <c r="P16" i="3"/>
  <c r="O16" i="3"/>
  <c r="N16" i="3"/>
  <c r="L16" i="3"/>
  <c r="K16" i="3"/>
  <c r="J16" i="3"/>
  <c r="I16" i="3"/>
  <c r="H16" i="3"/>
  <c r="G16" i="3"/>
  <c r="E16" i="3"/>
  <c r="D16" i="3"/>
  <c r="C16" i="3"/>
  <c r="AH15" i="3"/>
  <c r="AG15" i="3"/>
  <c r="AF15" i="3"/>
  <c r="AE15" i="3"/>
  <c r="AD15" i="3"/>
  <c r="AC15" i="3"/>
  <c r="AB15" i="3"/>
  <c r="AA15" i="3"/>
  <c r="Z15" i="3"/>
  <c r="Y15" i="3"/>
  <c r="W15" i="3"/>
  <c r="V15" i="3"/>
  <c r="U15" i="3"/>
  <c r="T15" i="3"/>
  <c r="S15" i="3"/>
  <c r="R15" i="3"/>
  <c r="Q15" i="3"/>
  <c r="P15" i="3"/>
  <c r="O15" i="3"/>
  <c r="N15" i="3"/>
  <c r="L15" i="3"/>
  <c r="K15" i="3"/>
  <c r="J15" i="3"/>
  <c r="I15" i="3"/>
  <c r="H15" i="3"/>
  <c r="G15" i="3"/>
  <c r="E15" i="3"/>
  <c r="D15" i="3"/>
  <c r="C15" i="3"/>
  <c r="AH14" i="3"/>
  <c r="AG14" i="3"/>
  <c r="AF14" i="3"/>
  <c r="AE14" i="3"/>
  <c r="AD14" i="3"/>
  <c r="AC14" i="3"/>
  <c r="AB14" i="3"/>
  <c r="AA14" i="3"/>
  <c r="Z14" i="3"/>
  <c r="Y14" i="3"/>
  <c r="W14" i="3"/>
  <c r="V14" i="3"/>
  <c r="U14" i="3"/>
  <c r="T14" i="3"/>
  <c r="S14" i="3"/>
  <c r="R14" i="3"/>
  <c r="Q14" i="3"/>
  <c r="P14" i="3"/>
  <c r="O14" i="3"/>
  <c r="N14" i="3"/>
  <c r="L14" i="3"/>
  <c r="K14" i="3"/>
  <c r="J14" i="3"/>
  <c r="I14" i="3"/>
  <c r="H14" i="3"/>
  <c r="G14" i="3"/>
  <c r="E14" i="3"/>
  <c r="D14" i="3"/>
  <c r="C14" i="3"/>
  <c r="AH13" i="3"/>
  <c r="AG13" i="3"/>
  <c r="AF13" i="3"/>
  <c r="AE13" i="3"/>
  <c r="AD13" i="3"/>
  <c r="AC13" i="3"/>
  <c r="AB13" i="3"/>
  <c r="AA13" i="3"/>
  <c r="Z13" i="3"/>
  <c r="Y13" i="3"/>
  <c r="W13" i="3"/>
  <c r="V13" i="3"/>
  <c r="U13" i="3"/>
  <c r="T13" i="3"/>
  <c r="S13" i="3"/>
  <c r="R13" i="3"/>
  <c r="Q13" i="3"/>
  <c r="P13" i="3"/>
  <c r="O13" i="3"/>
  <c r="N13" i="3"/>
  <c r="L13" i="3"/>
  <c r="K13" i="3"/>
  <c r="J13" i="3"/>
  <c r="I13" i="3"/>
  <c r="H13" i="3"/>
  <c r="G13" i="3"/>
  <c r="E13" i="3"/>
  <c r="D13" i="3"/>
  <c r="C13" i="3"/>
  <c r="AH12" i="3"/>
  <c r="AG12" i="3"/>
  <c r="AF12" i="3"/>
  <c r="AE12" i="3"/>
  <c r="AD12" i="3"/>
  <c r="AC12" i="3"/>
  <c r="AB12" i="3"/>
  <c r="AA12" i="3"/>
  <c r="Z12" i="3"/>
  <c r="Y12" i="3"/>
  <c r="W12" i="3"/>
  <c r="V12" i="3"/>
  <c r="U12" i="3"/>
  <c r="T12" i="3"/>
  <c r="S12" i="3"/>
  <c r="R12" i="3"/>
  <c r="Q12" i="3"/>
  <c r="P12" i="3"/>
  <c r="O12" i="3"/>
  <c r="N12" i="3"/>
  <c r="L12" i="3"/>
  <c r="K12" i="3"/>
  <c r="J12" i="3"/>
  <c r="I12" i="3"/>
  <c r="H12" i="3"/>
  <c r="G12" i="3"/>
  <c r="E12" i="3"/>
  <c r="D12" i="3"/>
  <c r="C12" i="3"/>
  <c r="AH11" i="3"/>
  <c r="AG11" i="3"/>
  <c r="AF11" i="3"/>
  <c r="AE11" i="3"/>
  <c r="AD11" i="3"/>
  <c r="AC11" i="3"/>
  <c r="AB11" i="3"/>
  <c r="AA11" i="3"/>
  <c r="Z11" i="3"/>
  <c r="Y11" i="3"/>
  <c r="W11" i="3"/>
  <c r="V11" i="3"/>
  <c r="U11" i="3"/>
  <c r="T11" i="3"/>
  <c r="S11" i="3"/>
  <c r="R11" i="3"/>
  <c r="Q11" i="3"/>
  <c r="P11" i="3"/>
  <c r="O11" i="3"/>
  <c r="N11" i="3"/>
  <c r="L11" i="3"/>
  <c r="K11" i="3"/>
  <c r="J11" i="3"/>
  <c r="I11" i="3"/>
  <c r="H11" i="3"/>
  <c r="G11" i="3"/>
  <c r="E11" i="3"/>
  <c r="D11" i="3"/>
  <c r="C11" i="3"/>
  <c r="AH10" i="3"/>
  <c r="AG10" i="3"/>
  <c r="AF10" i="3"/>
  <c r="AE10" i="3"/>
  <c r="AD10" i="3"/>
  <c r="AC10" i="3"/>
  <c r="AB10" i="3"/>
  <c r="AA10" i="3"/>
  <c r="Z10" i="3"/>
  <c r="Y10" i="3"/>
  <c r="W10" i="3"/>
  <c r="V10" i="3"/>
  <c r="U10" i="3"/>
  <c r="T10" i="3"/>
  <c r="S10" i="3"/>
  <c r="R10" i="3"/>
  <c r="Q10" i="3"/>
  <c r="P10" i="3"/>
  <c r="O10" i="3"/>
  <c r="N10" i="3"/>
  <c r="L10" i="3"/>
  <c r="K10" i="3"/>
  <c r="J10" i="3"/>
  <c r="I10" i="3"/>
  <c r="H10" i="3"/>
  <c r="G10" i="3"/>
  <c r="E10" i="3"/>
  <c r="D10" i="3"/>
  <c r="C10" i="3"/>
  <c r="AH9" i="3"/>
  <c r="AG9" i="3"/>
  <c r="AF9" i="3"/>
  <c r="AE9" i="3"/>
  <c r="AD9" i="3"/>
  <c r="AC9" i="3"/>
  <c r="AB9" i="3"/>
  <c r="AA9" i="3"/>
  <c r="Z9" i="3"/>
  <c r="Y9" i="3"/>
  <c r="W9" i="3"/>
  <c r="V9" i="3"/>
  <c r="U9" i="3"/>
  <c r="T9" i="3"/>
  <c r="S9" i="3"/>
  <c r="R9" i="3"/>
  <c r="Q9" i="3"/>
  <c r="P9" i="3"/>
  <c r="O9" i="3"/>
  <c r="N9" i="3"/>
  <c r="L9" i="3"/>
  <c r="K9" i="3"/>
  <c r="J9" i="3"/>
  <c r="I9" i="3"/>
  <c r="H9" i="3"/>
  <c r="G9" i="3"/>
  <c r="E9" i="3"/>
  <c r="D9" i="3"/>
  <c r="C9" i="3"/>
  <c r="AH8" i="3"/>
  <c r="AG8" i="3"/>
  <c r="AF8" i="3"/>
  <c r="AE8" i="3"/>
  <c r="AD8" i="3"/>
  <c r="AC8" i="3"/>
  <c r="AB8" i="3"/>
  <c r="AA8" i="3"/>
  <c r="Z8" i="3"/>
  <c r="Y8" i="3"/>
  <c r="W8" i="3"/>
  <c r="V8" i="3"/>
  <c r="U8" i="3"/>
  <c r="T8" i="3"/>
  <c r="S8" i="3"/>
  <c r="R8" i="3"/>
  <c r="Q8" i="3"/>
  <c r="P8" i="3"/>
  <c r="O8" i="3"/>
  <c r="N8" i="3"/>
  <c r="L8" i="3"/>
  <c r="K8" i="3"/>
  <c r="J8" i="3"/>
  <c r="I8" i="3"/>
  <c r="H8" i="3"/>
  <c r="G8" i="3"/>
  <c r="E8" i="3"/>
  <c r="D8" i="3"/>
  <c r="C8" i="3"/>
  <c r="AH7" i="3"/>
  <c r="AG7" i="3"/>
  <c r="AF7" i="3"/>
  <c r="AF20" i="3" s="1"/>
  <c r="AE7" i="3"/>
  <c r="AE20" i="3" s="1"/>
  <c r="AD7" i="3"/>
  <c r="AC7" i="3"/>
  <c r="AB7" i="3"/>
  <c r="AA7" i="3"/>
  <c r="Z7" i="3"/>
  <c r="Y7" i="3"/>
  <c r="W7" i="3"/>
  <c r="W20" i="3" s="1"/>
  <c r="V7" i="3"/>
  <c r="V20" i="3" s="1"/>
  <c r="U7" i="3"/>
  <c r="T7" i="3"/>
  <c r="S7" i="3"/>
  <c r="R7" i="3"/>
  <c r="Q7" i="3"/>
  <c r="P7" i="3"/>
  <c r="O7" i="3"/>
  <c r="O20" i="3" s="1"/>
  <c r="N7" i="3"/>
  <c r="N20" i="3" s="1"/>
  <c r="L7" i="3"/>
  <c r="K7" i="3"/>
  <c r="J7" i="3"/>
  <c r="I7" i="3"/>
  <c r="H7" i="3"/>
  <c r="G7" i="3"/>
  <c r="E7" i="3"/>
  <c r="E20" i="3" s="1"/>
  <c r="D7" i="3"/>
  <c r="C7" i="3"/>
  <c r="AH6" i="3"/>
  <c r="AG6" i="3"/>
  <c r="AF6" i="3"/>
  <c r="AE6" i="3"/>
  <c r="AD6" i="3"/>
  <c r="AC6" i="3"/>
  <c r="AB6" i="3"/>
  <c r="AA6" i="3"/>
  <c r="Z6" i="3"/>
  <c r="Y6" i="3"/>
  <c r="W6" i="3"/>
  <c r="V6" i="3"/>
  <c r="U6" i="3"/>
  <c r="T6" i="3"/>
  <c r="S6" i="3"/>
  <c r="R6" i="3"/>
  <c r="Q6" i="3"/>
  <c r="P6" i="3"/>
  <c r="O6" i="3"/>
  <c r="N6" i="3"/>
  <c r="L6" i="3"/>
  <c r="K6" i="3"/>
  <c r="J6" i="3"/>
  <c r="I6" i="3"/>
  <c r="H6" i="3"/>
  <c r="G6" i="3"/>
  <c r="E6" i="3"/>
  <c r="D6" i="3"/>
  <c r="C6" i="3"/>
  <c r="AH5" i="3"/>
  <c r="AG5" i="3"/>
  <c r="AF5" i="3"/>
  <c r="AE5" i="3"/>
  <c r="AD5" i="3"/>
  <c r="AC5" i="3"/>
  <c r="AB5" i="3"/>
  <c r="AA5" i="3"/>
  <c r="Z5" i="3"/>
  <c r="Y5" i="3"/>
  <c r="W5" i="3"/>
  <c r="V5" i="3"/>
  <c r="U5" i="3"/>
  <c r="T5" i="3"/>
  <c r="S5" i="3"/>
  <c r="R5" i="3"/>
  <c r="Q5" i="3"/>
  <c r="P5" i="3"/>
  <c r="O5" i="3"/>
  <c r="N5" i="3"/>
  <c r="L5" i="3"/>
  <c r="K5" i="3"/>
  <c r="J5" i="3"/>
  <c r="I5" i="3"/>
  <c r="H5" i="3"/>
  <c r="G5" i="3"/>
  <c r="E5" i="3"/>
  <c r="D5" i="3"/>
  <c r="C5" i="3"/>
  <c r="AH4" i="3"/>
  <c r="AH20" i="3" s="1"/>
  <c r="AG4" i="3"/>
  <c r="AG20" i="3" s="1"/>
  <c r="AF4" i="3"/>
  <c r="AE4" i="3"/>
  <c r="AD4" i="3"/>
  <c r="AD20" i="3" s="1"/>
  <c r="AC4" i="3"/>
  <c r="AC20" i="3" s="1"/>
  <c r="AB4" i="3"/>
  <c r="AB20" i="3" s="1"/>
  <c r="AA4" i="3"/>
  <c r="AA20" i="3" s="1"/>
  <c r="Z4" i="3"/>
  <c r="Z20" i="3" s="1"/>
  <c r="Y4" i="3"/>
  <c r="Y20" i="3" s="1"/>
  <c r="W4" i="3"/>
  <c r="V4" i="3"/>
  <c r="U4" i="3"/>
  <c r="U20" i="3" s="1"/>
  <c r="T4" i="3"/>
  <c r="T20" i="3" s="1"/>
  <c r="S4" i="3"/>
  <c r="S20" i="3" s="1"/>
  <c r="R4" i="3"/>
  <c r="R20" i="3" s="1"/>
  <c r="Q4" i="3"/>
  <c r="Q20" i="3" s="1"/>
  <c r="P4" i="3"/>
  <c r="P20" i="3" s="1"/>
  <c r="O4" i="3"/>
  <c r="N4" i="3"/>
  <c r="L4" i="3"/>
  <c r="L20" i="3" s="1"/>
  <c r="K4" i="3"/>
  <c r="K20" i="3" s="1"/>
  <c r="J4" i="3"/>
  <c r="J20" i="3" s="1"/>
  <c r="I4" i="3"/>
  <c r="I20" i="3" s="1"/>
  <c r="H4" i="3"/>
  <c r="H20" i="3" s="1"/>
  <c r="G4" i="3"/>
  <c r="G20" i="3" s="1"/>
  <c r="E4" i="3"/>
  <c r="D4" i="3"/>
  <c r="D20" i="3" s="1"/>
  <c r="C4" i="3"/>
  <c r="C20" i="3" s="1"/>
  <c r="Y43" i="3" l="1"/>
  <c r="Y44" i="3"/>
  <c r="N43" i="3"/>
  <c r="N44" i="3"/>
  <c r="N66" i="3"/>
  <c r="N65" i="3"/>
  <c r="C66" i="3"/>
  <c r="C65" i="3"/>
  <c r="Y66" i="3"/>
  <c r="Y65" i="3"/>
  <c r="C44" i="3"/>
  <c r="C43" i="3"/>
  <c r="C4" i="2" l="1"/>
  <c r="D4" i="2"/>
  <c r="E4" i="2"/>
  <c r="F4" i="2"/>
  <c r="F20" i="2" s="1"/>
  <c r="G4" i="2"/>
  <c r="G20" i="2" s="1"/>
  <c r="H4" i="2"/>
  <c r="H20" i="2" s="1"/>
  <c r="I4" i="2"/>
  <c r="J4" i="2"/>
  <c r="K4" i="2"/>
  <c r="L4" i="2"/>
  <c r="N4" i="2"/>
  <c r="O4" i="2"/>
  <c r="P4" i="2"/>
  <c r="P20" i="2" s="1"/>
  <c r="Q4" i="2"/>
  <c r="Q20" i="2" s="1"/>
  <c r="R4" i="2"/>
  <c r="S4" i="2"/>
  <c r="T4" i="2"/>
  <c r="V4" i="2"/>
  <c r="W4" i="2"/>
  <c r="Y4" i="2"/>
  <c r="Y20" i="2" s="1"/>
  <c r="Z4" i="2"/>
  <c r="Z20" i="2" s="1"/>
  <c r="AA4" i="2"/>
  <c r="AB4" i="2"/>
  <c r="AC4" i="2"/>
  <c r="AD4" i="2"/>
  <c r="AE4" i="2"/>
  <c r="AF4" i="2"/>
  <c r="AG4" i="2"/>
  <c r="AG20" i="2" s="1"/>
  <c r="AH4" i="2"/>
  <c r="AH20" i="2" s="1"/>
  <c r="C6" i="2"/>
  <c r="D6" i="2"/>
  <c r="E6" i="2"/>
  <c r="F6" i="2"/>
  <c r="G6" i="2"/>
  <c r="H6" i="2"/>
  <c r="I6" i="2"/>
  <c r="I20" i="2" s="1"/>
  <c r="J6" i="2"/>
  <c r="J20" i="2" s="1"/>
  <c r="K6" i="2"/>
  <c r="L6" i="2"/>
  <c r="N6" i="2"/>
  <c r="O6" i="2"/>
  <c r="P6" i="2"/>
  <c r="Q6" i="2"/>
  <c r="R6" i="2"/>
  <c r="R20" i="2" s="1"/>
  <c r="S6" i="2"/>
  <c r="S20" i="2" s="1"/>
  <c r="T6" i="2"/>
  <c r="V6" i="2"/>
  <c r="W6" i="2"/>
  <c r="Y6" i="2"/>
  <c r="Z6" i="2"/>
  <c r="AA6" i="2"/>
  <c r="AA20" i="2" s="1"/>
  <c r="AB6" i="2"/>
  <c r="AB20" i="2" s="1"/>
  <c r="AC6" i="2"/>
  <c r="AD6" i="2"/>
  <c r="AE6" i="2"/>
  <c r="AF6" i="2"/>
  <c r="AG6" i="2"/>
  <c r="AH6" i="2"/>
  <c r="C7" i="2"/>
  <c r="D7" i="2"/>
  <c r="E7" i="2"/>
  <c r="F7" i="2"/>
  <c r="G7" i="2"/>
  <c r="H7" i="2"/>
  <c r="I7" i="2"/>
  <c r="J7" i="2"/>
  <c r="K7" i="2"/>
  <c r="L7" i="2"/>
  <c r="N7" i="2"/>
  <c r="O7" i="2"/>
  <c r="P7" i="2"/>
  <c r="Q7" i="2"/>
  <c r="R7" i="2"/>
  <c r="S7" i="2"/>
  <c r="T7" i="2"/>
  <c r="V7" i="2"/>
  <c r="W7" i="2"/>
  <c r="Y7" i="2"/>
  <c r="Z7" i="2"/>
  <c r="AA7" i="2"/>
  <c r="AB7" i="2"/>
  <c r="AC7" i="2"/>
  <c r="AD7" i="2"/>
  <c r="AE7" i="2"/>
  <c r="AF7" i="2"/>
  <c r="AG7" i="2"/>
  <c r="AH7" i="2"/>
  <c r="C8" i="2"/>
  <c r="D8" i="2"/>
  <c r="E8" i="2"/>
  <c r="E20" i="2" s="1"/>
  <c r="F8" i="2"/>
  <c r="G8" i="2"/>
  <c r="H8" i="2"/>
  <c r="I8" i="2"/>
  <c r="J8" i="2"/>
  <c r="K8" i="2"/>
  <c r="L8" i="2"/>
  <c r="N8" i="2"/>
  <c r="N20" i="2" s="1"/>
  <c r="O8" i="2"/>
  <c r="O20" i="2" s="1"/>
  <c r="P8" i="2"/>
  <c r="Q8" i="2"/>
  <c r="R8" i="2"/>
  <c r="S8" i="2"/>
  <c r="T8" i="2"/>
  <c r="V8" i="2"/>
  <c r="V20" i="2" s="1"/>
  <c r="W8" i="2"/>
  <c r="W20" i="2" s="1"/>
  <c r="Y8" i="2"/>
  <c r="Z8" i="2"/>
  <c r="AA8" i="2"/>
  <c r="AB8" i="2"/>
  <c r="AC8" i="2"/>
  <c r="AD8" i="2"/>
  <c r="AE8" i="2"/>
  <c r="AE20" i="2" s="1"/>
  <c r="AF8" i="2"/>
  <c r="AF20" i="2" s="1"/>
  <c r="AG8" i="2"/>
  <c r="AH8" i="2"/>
  <c r="C9" i="2"/>
  <c r="D9" i="2"/>
  <c r="E9" i="2"/>
  <c r="F9" i="2"/>
  <c r="G9" i="2"/>
  <c r="H9" i="2"/>
  <c r="I9" i="2"/>
  <c r="J9" i="2"/>
  <c r="K9" i="2"/>
  <c r="L9" i="2"/>
  <c r="N9" i="2"/>
  <c r="O9" i="2"/>
  <c r="P9" i="2"/>
  <c r="Q9" i="2"/>
  <c r="R9" i="2"/>
  <c r="S9" i="2"/>
  <c r="T9" i="2"/>
  <c r="V9" i="2"/>
  <c r="W9" i="2"/>
  <c r="Y9" i="2"/>
  <c r="Z9" i="2"/>
  <c r="AA9" i="2"/>
  <c r="AB9" i="2"/>
  <c r="AC9" i="2"/>
  <c r="AD9" i="2"/>
  <c r="AE9" i="2"/>
  <c r="AF9" i="2"/>
  <c r="AG9" i="2"/>
  <c r="AH9" i="2"/>
  <c r="C10" i="2"/>
  <c r="D10" i="2"/>
  <c r="E10" i="2"/>
  <c r="F10" i="2"/>
  <c r="G10" i="2"/>
  <c r="H10" i="2"/>
  <c r="I10" i="2"/>
  <c r="J10" i="2"/>
  <c r="K10" i="2"/>
  <c r="L10" i="2"/>
  <c r="N10" i="2"/>
  <c r="O10" i="2"/>
  <c r="P10" i="2"/>
  <c r="Q10" i="2"/>
  <c r="R10" i="2"/>
  <c r="S10" i="2"/>
  <c r="T10" i="2"/>
  <c r="V10" i="2"/>
  <c r="W10" i="2"/>
  <c r="Y10" i="2"/>
  <c r="Z10" i="2"/>
  <c r="AA10" i="2"/>
  <c r="AB10" i="2"/>
  <c r="AC10" i="2"/>
  <c r="AD10" i="2"/>
  <c r="AE10" i="2"/>
  <c r="AF10" i="2"/>
  <c r="AG10" i="2"/>
  <c r="AH10" i="2"/>
  <c r="C11" i="2"/>
  <c r="D11" i="2"/>
  <c r="E11" i="2"/>
  <c r="F11" i="2"/>
  <c r="G11" i="2"/>
  <c r="H11" i="2"/>
  <c r="I11" i="2"/>
  <c r="J11" i="2"/>
  <c r="K11" i="2"/>
  <c r="L11" i="2"/>
  <c r="N11" i="2"/>
  <c r="O11" i="2"/>
  <c r="P11" i="2"/>
  <c r="Q11" i="2"/>
  <c r="R11" i="2"/>
  <c r="S11" i="2"/>
  <c r="T11" i="2"/>
  <c r="V11" i="2"/>
  <c r="W11" i="2"/>
  <c r="Y11" i="2"/>
  <c r="Z11" i="2"/>
  <c r="AA11" i="2"/>
  <c r="AB11" i="2"/>
  <c r="AC11" i="2"/>
  <c r="AD11" i="2"/>
  <c r="AE11" i="2"/>
  <c r="AF11" i="2"/>
  <c r="AG11" i="2"/>
  <c r="AH11" i="2"/>
  <c r="C12" i="2"/>
  <c r="D12" i="2"/>
  <c r="E12" i="2"/>
  <c r="F12" i="2"/>
  <c r="G12" i="2"/>
  <c r="H12" i="2"/>
  <c r="I12" i="2"/>
  <c r="J12" i="2"/>
  <c r="K12" i="2"/>
  <c r="L12" i="2"/>
  <c r="N12" i="2"/>
  <c r="O12" i="2"/>
  <c r="P12" i="2"/>
  <c r="Q12" i="2"/>
  <c r="R12" i="2"/>
  <c r="S12" i="2"/>
  <c r="T12" i="2"/>
  <c r="V12" i="2"/>
  <c r="W12" i="2"/>
  <c r="Y12" i="2"/>
  <c r="Z12" i="2"/>
  <c r="AA12" i="2"/>
  <c r="AB12" i="2"/>
  <c r="AC12" i="2"/>
  <c r="AD12" i="2"/>
  <c r="AE12" i="2"/>
  <c r="AF12" i="2"/>
  <c r="AG12" i="2"/>
  <c r="AH12" i="2"/>
  <c r="C13" i="2"/>
  <c r="D13" i="2"/>
  <c r="E13" i="2"/>
  <c r="F13" i="2"/>
  <c r="G13" i="2"/>
  <c r="H13" i="2"/>
  <c r="I13" i="2"/>
  <c r="J13" i="2"/>
  <c r="K13" i="2"/>
  <c r="L13" i="2"/>
  <c r="N13" i="2"/>
  <c r="O13" i="2"/>
  <c r="P13" i="2"/>
  <c r="Q13" i="2"/>
  <c r="R13" i="2"/>
  <c r="S13" i="2"/>
  <c r="T13" i="2"/>
  <c r="V13" i="2"/>
  <c r="W13" i="2"/>
  <c r="Y13" i="2"/>
  <c r="Z13" i="2"/>
  <c r="AA13" i="2"/>
  <c r="AB13" i="2"/>
  <c r="AC13" i="2"/>
  <c r="AD13" i="2"/>
  <c r="AE13" i="2"/>
  <c r="AF13" i="2"/>
  <c r="AG13" i="2"/>
  <c r="AH13" i="2"/>
  <c r="C14" i="2"/>
  <c r="D14" i="2"/>
  <c r="E14" i="2"/>
  <c r="F14" i="2"/>
  <c r="G14" i="2"/>
  <c r="H14" i="2"/>
  <c r="I14" i="2"/>
  <c r="J14" i="2"/>
  <c r="K14" i="2"/>
  <c r="L14" i="2"/>
  <c r="N14" i="2"/>
  <c r="O14" i="2"/>
  <c r="P14" i="2"/>
  <c r="Q14" i="2"/>
  <c r="R14" i="2"/>
  <c r="S14" i="2"/>
  <c r="T14" i="2"/>
  <c r="V14" i="2"/>
  <c r="W14" i="2"/>
  <c r="Y14" i="2"/>
  <c r="Z14" i="2"/>
  <c r="AA14" i="2"/>
  <c r="AB14" i="2"/>
  <c r="AC14" i="2"/>
  <c r="AD14" i="2"/>
  <c r="AE14" i="2"/>
  <c r="AF14" i="2"/>
  <c r="AG14" i="2"/>
  <c r="AH14" i="2"/>
  <c r="C15" i="2"/>
  <c r="D15" i="2"/>
  <c r="E15" i="2"/>
  <c r="F15" i="2"/>
  <c r="G15" i="2"/>
  <c r="H15" i="2"/>
  <c r="I15" i="2"/>
  <c r="J15" i="2"/>
  <c r="K15" i="2"/>
  <c r="L15" i="2"/>
  <c r="N15" i="2"/>
  <c r="O15" i="2"/>
  <c r="P15" i="2"/>
  <c r="Q15" i="2"/>
  <c r="R15" i="2"/>
  <c r="S15" i="2"/>
  <c r="T15" i="2"/>
  <c r="V15" i="2"/>
  <c r="W15" i="2"/>
  <c r="Y15" i="2"/>
  <c r="Z15" i="2"/>
  <c r="AA15" i="2"/>
  <c r="AB15" i="2"/>
  <c r="AC15" i="2"/>
  <c r="AD15" i="2"/>
  <c r="AE15" i="2"/>
  <c r="AF15" i="2"/>
  <c r="AG15" i="2"/>
  <c r="AH15" i="2"/>
  <c r="C16" i="2"/>
  <c r="D16" i="2"/>
  <c r="E16" i="2"/>
  <c r="F16" i="2"/>
  <c r="G16" i="2"/>
  <c r="H16" i="2"/>
  <c r="I16" i="2"/>
  <c r="J16" i="2"/>
  <c r="K16" i="2"/>
  <c r="L16" i="2"/>
  <c r="N16" i="2"/>
  <c r="O16" i="2"/>
  <c r="P16" i="2"/>
  <c r="Q16" i="2"/>
  <c r="R16" i="2"/>
  <c r="S16" i="2"/>
  <c r="T16" i="2"/>
  <c r="V16" i="2"/>
  <c r="W16" i="2"/>
  <c r="Y16" i="2"/>
  <c r="Z16" i="2"/>
  <c r="AA16" i="2"/>
  <c r="AB16" i="2"/>
  <c r="AC16" i="2"/>
  <c r="AD16" i="2"/>
  <c r="AE16" i="2"/>
  <c r="AF16" i="2"/>
  <c r="AG16" i="2"/>
  <c r="AH16" i="2"/>
  <c r="C17" i="2"/>
  <c r="D17" i="2"/>
  <c r="E17" i="2"/>
  <c r="F17" i="2"/>
  <c r="G17" i="2"/>
  <c r="H17" i="2"/>
  <c r="I17" i="2"/>
  <c r="J17" i="2"/>
  <c r="K17" i="2"/>
  <c r="L17" i="2"/>
  <c r="N17" i="2"/>
  <c r="O17" i="2"/>
  <c r="P17" i="2"/>
  <c r="Q17" i="2"/>
  <c r="R17" i="2"/>
  <c r="S17" i="2"/>
  <c r="T17" i="2"/>
  <c r="V17" i="2"/>
  <c r="W17" i="2"/>
  <c r="Y17" i="2"/>
  <c r="Z17" i="2"/>
  <c r="AA17" i="2"/>
  <c r="AB17" i="2"/>
  <c r="AC17" i="2"/>
  <c r="AD17" i="2"/>
  <c r="AE17" i="2"/>
  <c r="AF17" i="2"/>
  <c r="AG17" i="2"/>
  <c r="AH17" i="2"/>
  <c r="C18" i="2"/>
  <c r="D18" i="2"/>
  <c r="E18" i="2"/>
  <c r="F18" i="2"/>
  <c r="G18" i="2"/>
  <c r="H18" i="2"/>
  <c r="I18" i="2"/>
  <c r="J18" i="2"/>
  <c r="K18" i="2"/>
  <c r="L18" i="2"/>
  <c r="N18" i="2"/>
  <c r="O18" i="2"/>
  <c r="P18" i="2"/>
  <c r="Q18" i="2"/>
  <c r="R18" i="2"/>
  <c r="S18" i="2"/>
  <c r="T18" i="2"/>
  <c r="V18" i="2"/>
  <c r="W18" i="2"/>
  <c r="Y18" i="2"/>
  <c r="Z18" i="2"/>
  <c r="AA18" i="2"/>
  <c r="AB18" i="2"/>
  <c r="AC18" i="2"/>
  <c r="AD18" i="2"/>
  <c r="AE18" i="2"/>
  <c r="AF18" i="2"/>
  <c r="AG18" i="2"/>
  <c r="AH18" i="2"/>
  <c r="C20" i="2"/>
  <c r="D20" i="2"/>
  <c r="K20" i="2"/>
  <c r="L20" i="2"/>
  <c r="T20" i="2"/>
  <c r="AC20" i="2"/>
  <c r="AD20" i="2"/>
  <c r="D26" i="2"/>
  <c r="E26" i="2"/>
  <c r="E42" i="2" s="1"/>
  <c r="F26" i="2"/>
  <c r="F42" i="2" s="1"/>
  <c r="G26" i="2"/>
  <c r="H26" i="2"/>
  <c r="H42" i="2" s="1"/>
  <c r="I26" i="2"/>
  <c r="J26" i="2"/>
  <c r="K26" i="2"/>
  <c r="L26" i="2"/>
  <c r="N26" i="2"/>
  <c r="N42" i="2" s="1"/>
  <c r="O26" i="2"/>
  <c r="O42" i="2" s="1"/>
  <c r="P26" i="2"/>
  <c r="R26" i="2"/>
  <c r="S26" i="2"/>
  <c r="T26" i="2"/>
  <c r="U26" i="2"/>
  <c r="V26" i="2"/>
  <c r="V42" i="2" s="1"/>
  <c r="W26" i="2"/>
  <c r="W42" i="2" s="1"/>
  <c r="Y26" i="2"/>
  <c r="Z26" i="2"/>
  <c r="Z42" i="2" s="1"/>
  <c r="AA26" i="2"/>
  <c r="AB26" i="2"/>
  <c r="AC26" i="2"/>
  <c r="AD26" i="2"/>
  <c r="AE26" i="2"/>
  <c r="AE42" i="2" s="1"/>
  <c r="AF26" i="2"/>
  <c r="AF42" i="2" s="1"/>
  <c r="AG26" i="2"/>
  <c r="AH26" i="2"/>
  <c r="AH42" i="2" s="1"/>
  <c r="D27" i="2"/>
  <c r="E27" i="2"/>
  <c r="F27" i="2"/>
  <c r="G27" i="2"/>
  <c r="G42" i="2" s="1"/>
  <c r="H27" i="2"/>
  <c r="I27" i="2"/>
  <c r="J27" i="2"/>
  <c r="K27" i="2"/>
  <c r="L27" i="2"/>
  <c r="N27" i="2"/>
  <c r="O27" i="2"/>
  <c r="P27" i="2"/>
  <c r="P42" i="2" s="1"/>
  <c r="R27" i="2"/>
  <c r="S27" i="2"/>
  <c r="T27" i="2"/>
  <c r="U27" i="2"/>
  <c r="V27" i="2"/>
  <c r="W27" i="2"/>
  <c r="Y27" i="2"/>
  <c r="Y42" i="2" s="1"/>
  <c r="Z27" i="2"/>
  <c r="AA27" i="2"/>
  <c r="AB27" i="2"/>
  <c r="AC27" i="2"/>
  <c r="AD27" i="2"/>
  <c r="AE27" i="2"/>
  <c r="AF27" i="2"/>
  <c r="AG27" i="2"/>
  <c r="AG42" i="2" s="1"/>
  <c r="AH27" i="2"/>
  <c r="D28" i="2"/>
  <c r="E28" i="2"/>
  <c r="F28" i="2"/>
  <c r="G28" i="2"/>
  <c r="H28" i="2"/>
  <c r="I28" i="2"/>
  <c r="I42" i="2" s="1"/>
  <c r="J28" i="2"/>
  <c r="J42" i="2" s="1"/>
  <c r="K28" i="2"/>
  <c r="L28" i="2"/>
  <c r="N28" i="2"/>
  <c r="O28" i="2"/>
  <c r="P28" i="2"/>
  <c r="R28" i="2"/>
  <c r="R42" i="2" s="1"/>
  <c r="S28" i="2"/>
  <c r="S42" i="2" s="1"/>
  <c r="T28" i="2"/>
  <c r="U28" i="2"/>
  <c r="V28" i="2"/>
  <c r="W28" i="2"/>
  <c r="Y28" i="2"/>
  <c r="Z28" i="2"/>
  <c r="AA28" i="2"/>
  <c r="AA42" i="2" s="1"/>
  <c r="AB28" i="2"/>
  <c r="AB42" i="2" s="1"/>
  <c r="AC28" i="2"/>
  <c r="AD28" i="2"/>
  <c r="AE28" i="2"/>
  <c r="AF28" i="2"/>
  <c r="AG28" i="2"/>
  <c r="AH28" i="2"/>
  <c r="D29" i="2"/>
  <c r="E29" i="2"/>
  <c r="F29" i="2"/>
  <c r="G29" i="2"/>
  <c r="H29" i="2"/>
  <c r="I29" i="2"/>
  <c r="J29" i="2"/>
  <c r="K29" i="2"/>
  <c r="L29" i="2"/>
  <c r="N29" i="2"/>
  <c r="O29" i="2"/>
  <c r="P29" i="2"/>
  <c r="R29" i="2"/>
  <c r="S29" i="2"/>
  <c r="T29" i="2"/>
  <c r="U29" i="2"/>
  <c r="V29" i="2"/>
  <c r="W29" i="2"/>
  <c r="Y29" i="2"/>
  <c r="Z29" i="2"/>
  <c r="AA29" i="2"/>
  <c r="AB29" i="2"/>
  <c r="AC29" i="2"/>
  <c r="AD29" i="2"/>
  <c r="AE29" i="2"/>
  <c r="AF29" i="2"/>
  <c r="AG29" i="2"/>
  <c r="AH29" i="2"/>
  <c r="D30" i="2"/>
  <c r="E30" i="2"/>
  <c r="F30" i="2"/>
  <c r="G30" i="2"/>
  <c r="H30" i="2"/>
  <c r="I30" i="2"/>
  <c r="J30" i="2"/>
  <c r="K30" i="2"/>
  <c r="L30" i="2"/>
  <c r="N30" i="2"/>
  <c r="O30" i="2"/>
  <c r="P30" i="2"/>
  <c r="R30" i="2"/>
  <c r="S30" i="2"/>
  <c r="T30" i="2"/>
  <c r="U30" i="2"/>
  <c r="V30" i="2"/>
  <c r="W30" i="2"/>
  <c r="Y30" i="2"/>
  <c r="Z30" i="2"/>
  <c r="AA30" i="2"/>
  <c r="AB30" i="2"/>
  <c r="AC30" i="2"/>
  <c r="AD30" i="2"/>
  <c r="AE30" i="2"/>
  <c r="AF30" i="2"/>
  <c r="AG30" i="2"/>
  <c r="AH30" i="2"/>
  <c r="D31" i="2"/>
  <c r="E31" i="2"/>
  <c r="F31" i="2"/>
  <c r="G31" i="2"/>
  <c r="H31" i="2"/>
  <c r="I31" i="2"/>
  <c r="J31" i="2"/>
  <c r="K31" i="2"/>
  <c r="L31" i="2"/>
  <c r="N31" i="2"/>
  <c r="O31" i="2"/>
  <c r="P31" i="2"/>
  <c r="R31" i="2"/>
  <c r="S31" i="2"/>
  <c r="T31" i="2"/>
  <c r="U31" i="2"/>
  <c r="V31" i="2"/>
  <c r="W31" i="2"/>
  <c r="Y31" i="2"/>
  <c r="Z31" i="2"/>
  <c r="AA31" i="2"/>
  <c r="AB31" i="2"/>
  <c r="AC31" i="2"/>
  <c r="AD31" i="2"/>
  <c r="AE31" i="2"/>
  <c r="AF31" i="2"/>
  <c r="AG31" i="2"/>
  <c r="AH31" i="2"/>
  <c r="D32" i="2"/>
  <c r="E32" i="2"/>
  <c r="F32" i="2"/>
  <c r="G32" i="2"/>
  <c r="H32" i="2"/>
  <c r="I32" i="2"/>
  <c r="J32" i="2"/>
  <c r="K32" i="2"/>
  <c r="L32" i="2"/>
  <c r="N32" i="2"/>
  <c r="O32" i="2"/>
  <c r="P32" i="2"/>
  <c r="R32" i="2"/>
  <c r="S32" i="2"/>
  <c r="T32" i="2"/>
  <c r="U32" i="2"/>
  <c r="V32" i="2"/>
  <c r="W32" i="2"/>
  <c r="Y32" i="2"/>
  <c r="Z32" i="2"/>
  <c r="AA32" i="2"/>
  <c r="AB32" i="2"/>
  <c r="AC32" i="2"/>
  <c r="AD32" i="2"/>
  <c r="AE32" i="2"/>
  <c r="AF32" i="2"/>
  <c r="AG32" i="2"/>
  <c r="AH32" i="2"/>
  <c r="D33" i="2"/>
  <c r="E33" i="2"/>
  <c r="F33" i="2"/>
  <c r="G33" i="2"/>
  <c r="H33" i="2"/>
  <c r="I33" i="2"/>
  <c r="J33" i="2"/>
  <c r="K33" i="2"/>
  <c r="L33" i="2"/>
  <c r="N33" i="2"/>
  <c r="O33" i="2"/>
  <c r="P33" i="2"/>
  <c r="R33" i="2"/>
  <c r="S33" i="2"/>
  <c r="T33" i="2"/>
  <c r="U33" i="2"/>
  <c r="V33" i="2"/>
  <c r="W33" i="2"/>
  <c r="Y33" i="2"/>
  <c r="Z33" i="2"/>
  <c r="AA33" i="2"/>
  <c r="AB33" i="2"/>
  <c r="AC33" i="2"/>
  <c r="AD33" i="2"/>
  <c r="AE33" i="2"/>
  <c r="AF33" i="2"/>
  <c r="AG33" i="2"/>
  <c r="AH33" i="2"/>
  <c r="D34" i="2"/>
  <c r="E34" i="2"/>
  <c r="F34" i="2"/>
  <c r="G34" i="2"/>
  <c r="H34" i="2"/>
  <c r="I34" i="2"/>
  <c r="J34" i="2"/>
  <c r="K34" i="2"/>
  <c r="L34" i="2"/>
  <c r="N34" i="2"/>
  <c r="O34" i="2"/>
  <c r="P34" i="2"/>
  <c r="R34" i="2"/>
  <c r="S34" i="2"/>
  <c r="T34" i="2"/>
  <c r="U34" i="2"/>
  <c r="V34" i="2"/>
  <c r="W34" i="2"/>
  <c r="Y34" i="2"/>
  <c r="Z34" i="2"/>
  <c r="AA34" i="2"/>
  <c r="AB34" i="2"/>
  <c r="AC34" i="2"/>
  <c r="AD34" i="2"/>
  <c r="AE34" i="2"/>
  <c r="AF34" i="2"/>
  <c r="AG34" i="2"/>
  <c r="AH34" i="2"/>
  <c r="D35" i="2"/>
  <c r="E35" i="2"/>
  <c r="F35" i="2"/>
  <c r="G35" i="2"/>
  <c r="H35" i="2"/>
  <c r="I35" i="2"/>
  <c r="J35" i="2"/>
  <c r="K35" i="2"/>
  <c r="L35" i="2"/>
  <c r="N35" i="2"/>
  <c r="O35" i="2"/>
  <c r="P35" i="2"/>
  <c r="R35" i="2"/>
  <c r="S35" i="2"/>
  <c r="T35" i="2"/>
  <c r="U35" i="2"/>
  <c r="V35" i="2"/>
  <c r="W35" i="2"/>
  <c r="Y35" i="2"/>
  <c r="Z35" i="2"/>
  <c r="AA35" i="2"/>
  <c r="AB35" i="2"/>
  <c r="AC35" i="2"/>
  <c r="AD35" i="2"/>
  <c r="AE35" i="2"/>
  <c r="AF35" i="2"/>
  <c r="AG35" i="2"/>
  <c r="AH35" i="2"/>
  <c r="D36" i="2"/>
  <c r="E36" i="2"/>
  <c r="F36" i="2"/>
  <c r="G36" i="2"/>
  <c r="H36" i="2"/>
  <c r="I36" i="2"/>
  <c r="J36" i="2"/>
  <c r="K36" i="2"/>
  <c r="L36" i="2"/>
  <c r="N36" i="2"/>
  <c r="O36" i="2"/>
  <c r="P36" i="2"/>
  <c r="R36" i="2"/>
  <c r="S36" i="2"/>
  <c r="T36" i="2"/>
  <c r="U36" i="2"/>
  <c r="V36" i="2"/>
  <c r="W36" i="2"/>
  <c r="Y36" i="2"/>
  <c r="Z36" i="2"/>
  <c r="AA36" i="2"/>
  <c r="AB36" i="2"/>
  <c r="AC36" i="2"/>
  <c r="AD36" i="2"/>
  <c r="AE36" i="2"/>
  <c r="AF36" i="2"/>
  <c r="AG36" i="2"/>
  <c r="AH36" i="2"/>
  <c r="D37" i="2"/>
  <c r="E37" i="2"/>
  <c r="F37" i="2"/>
  <c r="G37" i="2"/>
  <c r="H37" i="2"/>
  <c r="I37" i="2"/>
  <c r="J37" i="2"/>
  <c r="K37" i="2"/>
  <c r="L37" i="2"/>
  <c r="N37" i="2"/>
  <c r="O37" i="2"/>
  <c r="P37" i="2"/>
  <c r="R37" i="2"/>
  <c r="S37" i="2"/>
  <c r="T37" i="2"/>
  <c r="U37" i="2"/>
  <c r="V37" i="2"/>
  <c r="W37" i="2"/>
  <c r="Y37" i="2"/>
  <c r="Z37" i="2"/>
  <c r="AA37" i="2"/>
  <c r="AB37" i="2"/>
  <c r="AC37" i="2"/>
  <c r="AD37" i="2"/>
  <c r="AE37" i="2"/>
  <c r="AF37" i="2"/>
  <c r="AG37" i="2"/>
  <c r="AH37" i="2"/>
  <c r="D38" i="2"/>
  <c r="E38" i="2"/>
  <c r="F38" i="2"/>
  <c r="G38" i="2"/>
  <c r="H38" i="2"/>
  <c r="I38" i="2"/>
  <c r="J38" i="2"/>
  <c r="K38" i="2"/>
  <c r="L38" i="2"/>
  <c r="N38" i="2"/>
  <c r="O38" i="2"/>
  <c r="P38" i="2"/>
  <c r="R38" i="2"/>
  <c r="S38" i="2"/>
  <c r="T38" i="2"/>
  <c r="U38" i="2"/>
  <c r="V38" i="2"/>
  <c r="W38" i="2"/>
  <c r="Y38" i="2"/>
  <c r="Z38" i="2"/>
  <c r="AA38" i="2"/>
  <c r="AB38" i="2"/>
  <c r="AC38" i="2"/>
  <c r="AD38" i="2"/>
  <c r="AE38" i="2"/>
  <c r="AF38" i="2"/>
  <c r="AG38" i="2"/>
  <c r="AH38" i="2"/>
  <c r="D39" i="2"/>
  <c r="E39" i="2"/>
  <c r="F39" i="2"/>
  <c r="G39" i="2"/>
  <c r="H39" i="2"/>
  <c r="I39" i="2"/>
  <c r="J39" i="2"/>
  <c r="K39" i="2"/>
  <c r="L39" i="2"/>
  <c r="N39" i="2"/>
  <c r="O39" i="2"/>
  <c r="P39" i="2"/>
  <c r="R39" i="2"/>
  <c r="S39" i="2"/>
  <c r="T39" i="2"/>
  <c r="U39" i="2"/>
  <c r="V39" i="2"/>
  <c r="W39" i="2"/>
  <c r="Y39" i="2"/>
  <c r="Z39" i="2"/>
  <c r="AA39" i="2"/>
  <c r="AB39" i="2"/>
  <c r="AC39" i="2"/>
  <c r="AD39" i="2"/>
  <c r="AE39" i="2"/>
  <c r="AF39" i="2"/>
  <c r="AG39" i="2"/>
  <c r="AH39" i="2"/>
  <c r="D40" i="2"/>
  <c r="E40" i="2"/>
  <c r="F40" i="2"/>
  <c r="G40" i="2"/>
  <c r="H40" i="2"/>
  <c r="I40" i="2"/>
  <c r="J40" i="2"/>
  <c r="K40" i="2"/>
  <c r="L40" i="2"/>
  <c r="N40" i="2"/>
  <c r="O40" i="2"/>
  <c r="P40" i="2"/>
  <c r="R40" i="2"/>
  <c r="S40" i="2"/>
  <c r="T40" i="2"/>
  <c r="U40" i="2"/>
  <c r="V40" i="2"/>
  <c r="W40" i="2"/>
  <c r="Y40" i="2"/>
  <c r="Z40" i="2"/>
  <c r="AA40" i="2"/>
  <c r="AB40" i="2"/>
  <c r="AC40" i="2"/>
  <c r="AD40" i="2"/>
  <c r="AE40" i="2"/>
  <c r="AF40" i="2"/>
  <c r="AG40" i="2"/>
  <c r="AH40" i="2"/>
  <c r="D42" i="2"/>
  <c r="K42" i="2"/>
  <c r="L42" i="2"/>
  <c r="T42" i="2"/>
  <c r="U42" i="2"/>
  <c r="AC42" i="2"/>
  <c r="AD42" i="2"/>
  <c r="C48" i="2"/>
  <c r="D48" i="2"/>
  <c r="E48" i="2"/>
  <c r="E64" i="2" s="1"/>
  <c r="F48" i="2"/>
  <c r="F64" i="2" s="1"/>
  <c r="G48" i="2"/>
  <c r="H48" i="2"/>
  <c r="H64" i="2" s="1"/>
  <c r="I48" i="2"/>
  <c r="J48" i="2"/>
  <c r="K48" i="2"/>
  <c r="L48" i="2"/>
  <c r="N48" i="2"/>
  <c r="N64" i="2" s="1"/>
  <c r="O48" i="2"/>
  <c r="O64" i="2" s="1"/>
  <c r="P48" i="2"/>
  <c r="Q48" i="2"/>
  <c r="Q64" i="2" s="1"/>
  <c r="R48" i="2"/>
  <c r="S48" i="2"/>
  <c r="T48" i="2"/>
  <c r="V48" i="2"/>
  <c r="V64" i="2" s="1"/>
  <c r="W48" i="2"/>
  <c r="W64" i="2" s="1"/>
  <c r="Y48" i="2"/>
  <c r="Z48" i="2"/>
  <c r="Z64" i="2" s="1"/>
  <c r="AA48" i="2"/>
  <c r="AB48" i="2"/>
  <c r="AC48" i="2"/>
  <c r="AD48" i="2"/>
  <c r="AE48" i="2"/>
  <c r="AE64" i="2" s="1"/>
  <c r="AF48" i="2"/>
  <c r="AF64" i="2" s="1"/>
  <c r="AG48" i="2"/>
  <c r="AH48" i="2"/>
  <c r="AH64" i="2" s="1"/>
  <c r="C49" i="2"/>
  <c r="D49" i="2"/>
  <c r="E49" i="2"/>
  <c r="F49" i="2"/>
  <c r="G49" i="2"/>
  <c r="G64" i="2" s="1"/>
  <c r="H49" i="2"/>
  <c r="I49" i="2"/>
  <c r="J49" i="2"/>
  <c r="K49" i="2"/>
  <c r="L49" i="2"/>
  <c r="N49" i="2"/>
  <c r="O49" i="2"/>
  <c r="P49" i="2"/>
  <c r="P64" i="2" s="1"/>
  <c r="Q49" i="2"/>
  <c r="R49" i="2"/>
  <c r="S49" i="2"/>
  <c r="T49" i="2"/>
  <c r="V49" i="2"/>
  <c r="W49" i="2"/>
  <c r="Y49" i="2"/>
  <c r="Y64" i="2" s="1"/>
  <c r="Z49" i="2"/>
  <c r="AA49" i="2"/>
  <c r="AB49" i="2"/>
  <c r="AC49" i="2"/>
  <c r="AD49" i="2"/>
  <c r="AE49" i="2"/>
  <c r="AF49" i="2"/>
  <c r="AG49" i="2"/>
  <c r="AG64" i="2" s="1"/>
  <c r="AH49" i="2"/>
  <c r="C50" i="2"/>
  <c r="D50" i="2"/>
  <c r="E50" i="2"/>
  <c r="F50" i="2"/>
  <c r="G50" i="2"/>
  <c r="H50" i="2"/>
  <c r="I50" i="2"/>
  <c r="I64" i="2" s="1"/>
  <c r="J50" i="2"/>
  <c r="J64" i="2" s="1"/>
  <c r="K50" i="2"/>
  <c r="L50" i="2"/>
  <c r="N50" i="2"/>
  <c r="O50" i="2"/>
  <c r="P50" i="2"/>
  <c r="Q50" i="2"/>
  <c r="R50" i="2"/>
  <c r="R64" i="2" s="1"/>
  <c r="S50" i="2"/>
  <c r="S64" i="2" s="1"/>
  <c r="T50" i="2"/>
  <c r="V50" i="2"/>
  <c r="W50" i="2"/>
  <c r="Y50" i="2"/>
  <c r="Z50" i="2"/>
  <c r="AA50" i="2"/>
  <c r="AA64" i="2" s="1"/>
  <c r="AB50" i="2"/>
  <c r="AB64" i="2" s="1"/>
  <c r="AC50" i="2"/>
  <c r="AD50" i="2"/>
  <c r="AE50" i="2"/>
  <c r="AF50" i="2"/>
  <c r="AG50" i="2"/>
  <c r="AH50" i="2"/>
  <c r="C51" i="2"/>
  <c r="D51" i="2"/>
  <c r="E51" i="2"/>
  <c r="F51" i="2"/>
  <c r="G51" i="2"/>
  <c r="H51" i="2"/>
  <c r="I51" i="2"/>
  <c r="J51" i="2"/>
  <c r="K51" i="2"/>
  <c r="L51" i="2"/>
  <c r="N51" i="2"/>
  <c r="O51" i="2"/>
  <c r="P51" i="2"/>
  <c r="Q51" i="2"/>
  <c r="R51" i="2"/>
  <c r="S51" i="2"/>
  <c r="T51" i="2"/>
  <c r="V51" i="2"/>
  <c r="W51" i="2"/>
  <c r="Y51" i="2"/>
  <c r="Z51" i="2"/>
  <c r="AA51" i="2"/>
  <c r="AB51" i="2"/>
  <c r="AC51" i="2"/>
  <c r="AD51" i="2"/>
  <c r="AE51" i="2"/>
  <c r="AF51" i="2"/>
  <c r="AG51" i="2"/>
  <c r="AH51" i="2"/>
  <c r="C52" i="2"/>
  <c r="D52" i="2"/>
  <c r="E52" i="2"/>
  <c r="F52" i="2"/>
  <c r="G52" i="2"/>
  <c r="H52" i="2"/>
  <c r="I52" i="2"/>
  <c r="J52" i="2"/>
  <c r="K52" i="2"/>
  <c r="L52" i="2"/>
  <c r="N52" i="2"/>
  <c r="O52" i="2"/>
  <c r="P52" i="2"/>
  <c r="Q52" i="2"/>
  <c r="R52" i="2"/>
  <c r="S52" i="2"/>
  <c r="T52" i="2"/>
  <c r="V52" i="2"/>
  <c r="W52" i="2"/>
  <c r="Y52" i="2"/>
  <c r="Z52" i="2"/>
  <c r="AA52" i="2"/>
  <c r="AB52" i="2"/>
  <c r="AC52" i="2"/>
  <c r="AD52" i="2"/>
  <c r="AE52" i="2"/>
  <c r="AF52" i="2"/>
  <c r="AG52" i="2"/>
  <c r="AH52" i="2"/>
  <c r="C53" i="2"/>
  <c r="D53" i="2"/>
  <c r="E53" i="2"/>
  <c r="F53" i="2"/>
  <c r="G53" i="2"/>
  <c r="H53" i="2"/>
  <c r="I53" i="2"/>
  <c r="J53" i="2"/>
  <c r="K53" i="2"/>
  <c r="L53" i="2"/>
  <c r="N53" i="2"/>
  <c r="O53" i="2"/>
  <c r="P53" i="2"/>
  <c r="Q53" i="2"/>
  <c r="R53" i="2"/>
  <c r="S53" i="2"/>
  <c r="T53" i="2"/>
  <c r="V53" i="2"/>
  <c r="W53" i="2"/>
  <c r="Y53" i="2"/>
  <c r="Z53" i="2"/>
  <c r="AA53" i="2"/>
  <c r="AB53" i="2"/>
  <c r="AC53" i="2"/>
  <c r="AD53" i="2"/>
  <c r="AE53" i="2"/>
  <c r="AF53" i="2"/>
  <c r="AG53" i="2"/>
  <c r="AH53" i="2"/>
  <c r="C54" i="2"/>
  <c r="D54" i="2"/>
  <c r="E54" i="2"/>
  <c r="F54" i="2"/>
  <c r="G54" i="2"/>
  <c r="H54" i="2"/>
  <c r="I54" i="2"/>
  <c r="J54" i="2"/>
  <c r="K54" i="2"/>
  <c r="L54" i="2"/>
  <c r="N54" i="2"/>
  <c r="O54" i="2"/>
  <c r="P54" i="2"/>
  <c r="Q54" i="2"/>
  <c r="R54" i="2"/>
  <c r="S54" i="2"/>
  <c r="T54" i="2"/>
  <c r="V54" i="2"/>
  <c r="W54" i="2"/>
  <c r="Y54" i="2"/>
  <c r="Z54" i="2"/>
  <c r="AA54" i="2"/>
  <c r="AB54" i="2"/>
  <c r="AC54" i="2"/>
  <c r="AD54" i="2"/>
  <c r="AE54" i="2"/>
  <c r="AF54" i="2"/>
  <c r="AG54" i="2"/>
  <c r="AH54" i="2"/>
  <c r="C55" i="2"/>
  <c r="D55" i="2"/>
  <c r="E55" i="2"/>
  <c r="F55" i="2"/>
  <c r="G55" i="2"/>
  <c r="H55" i="2"/>
  <c r="I55" i="2"/>
  <c r="J55" i="2"/>
  <c r="K55" i="2"/>
  <c r="L55" i="2"/>
  <c r="N55" i="2"/>
  <c r="O55" i="2"/>
  <c r="P55" i="2"/>
  <c r="Q55" i="2"/>
  <c r="R55" i="2"/>
  <c r="S55" i="2"/>
  <c r="T55" i="2"/>
  <c r="V55" i="2"/>
  <c r="W55" i="2"/>
  <c r="Y55" i="2"/>
  <c r="Z55" i="2"/>
  <c r="AA55" i="2"/>
  <c r="AB55" i="2"/>
  <c r="AC55" i="2"/>
  <c r="AD55" i="2"/>
  <c r="AE55" i="2"/>
  <c r="AF55" i="2"/>
  <c r="AG55" i="2"/>
  <c r="AH55" i="2"/>
  <c r="C56" i="2"/>
  <c r="D56" i="2"/>
  <c r="E56" i="2"/>
  <c r="F56" i="2"/>
  <c r="G56" i="2"/>
  <c r="H56" i="2"/>
  <c r="I56" i="2"/>
  <c r="J56" i="2"/>
  <c r="K56" i="2"/>
  <c r="L56" i="2"/>
  <c r="N56" i="2"/>
  <c r="O56" i="2"/>
  <c r="P56" i="2"/>
  <c r="Q56" i="2"/>
  <c r="R56" i="2"/>
  <c r="S56" i="2"/>
  <c r="T56" i="2"/>
  <c r="V56" i="2"/>
  <c r="W56" i="2"/>
  <c r="Y56" i="2"/>
  <c r="Z56" i="2"/>
  <c r="AA56" i="2"/>
  <c r="AB56" i="2"/>
  <c r="AC56" i="2"/>
  <c r="AD56" i="2"/>
  <c r="AE56" i="2"/>
  <c r="AF56" i="2"/>
  <c r="AG56" i="2"/>
  <c r="AH56" i="2"/>
  <c r="C57" i="2"/>
  <c r="D57" i="2"/>
  <c r="E57" i="2"/>
  <c r="F57" i="2"/>
  <c r="G57" i="2"/>
  <c r="H57" i="2"/>
  <c r="I57" i="2"/>
  <c r="J57" i="2"/>
  <c r="K57" i="2"/>
  <c r="L57" i="2"/>
  <c r="N57" i="2"/>
  <c r="O57" i="2"/>
  <c r="P57" i="2"/>
  <c r="Q57" i="2"/>
  <c r="R57" i="2"/>
  <c r="S57" i="2"/>
  <c r="T57" i="2"/>
  <c r="V57" i="2"/>
  <c r="W57" i="2"/>
  <c r="Y57" i="2"/>
  <c r="Z57" i="2"/>
  <c r="AA57" i="2"/>
  <c r="AB57" i="2"/>
  <c r="AC57" i="2"/>
  <c r="AD57" i="2"/>
  <c r="AE57" i="2"/>
  <c r="AF57" i="2"/>
  <c r="AG57" i="2"/>
  <c r="AH57" i="2"/>
  <c r="C58" i="2"/>
  <c r="D58" i="2"/>
  <c r="E58" i="2"/>
  <c r="F58" i="2"/>
  <c r="G58" i="2"/>
  <c r="H58" i="2"/>
  <c r="I58" i="2"/>
  <c r="J58" i="2"/>
  <c r="K58" i="2"/>
  <c r="L58" i="2"/>
  <c r="N58" i="2"/>
  <c r="O58" i="2"/>
  <c r="P58" i="2"/>
  <c r="Q58" i="2"/>
  <c r="R58" i="2"/>
  <c r="S58" i="2"/>
  <c r="T58" i="2"/>
  <c r="V58" i="2"/>
  <c r="W58" i="2"/>
  <c r="Y58" i="2"/>
  <c r="Z58" i="2"/>
  <c r="AA58" i="2"/>
  <c r="AB58" i="2"/>
  <c r="AC58" i="2"/>
  <c r="AD58" i="2"/>
  <c r="AE58" i="2"/>
  <c r="AF58" i="2"/>
  <c r="AG58" i="2"/>
  <c r="AH58" i="2"/>
  <c r="C59" i="2"/>
  <c r="D59" i="2"/>
  <c r="E59" i="2"/>
  <c r="F59" i="2"/>
  <c r="G59" i="2"/>
  <c r="H59" i="2"/>
  <c r="I59" i="2"/>
  <c r="J59" i="2"/>
  <c r="K59" i="2"/>
  <c r="L59" i="2"/>
  <c r="N59" i="2"/>
  <c r="O59" i="2"/>
  <c r="P59" i="2"/>
  <c r="Q59" i="2"/>
  <c r="R59" i="2"/>
  <c r="S59" i="2"/>
  <c r="T59" i="2"/>
  <c r="V59" i="2"/>
  <c r="W59" i="2"/>
  <c r="Y59" i="2"/>
  <c r="Z59" i="2"/>
  <c r="AA59" i="2"/>
  <c r="AB59" i="2"/>
  <c r="AC59" i="2"/>
  <c r="AD59" i="2"/>
  <c r="AE59" i="2"/>
  <c r="AF59" i="2"/>
  <c r="AG59" i="2"/>
  <c r="AH59" i="2"/>
  <c r="C60" i="2"/>
  <c r="D60" i="2"/>
  <c r="E60" i="2"/>
  <c r="F60" i="2"/>
  <c r="G60" i="2"/>
  <c r="H60" i="2"/>
  <c r="I60" i="2"/>
  <c r="J60" i="2"/>
  <c r="K60" i="2"/>
  <c r="L60" i="2"/>
  <c r="N60" i="2"/>
  <c r="O60" i="2"/>
  <c r="P60" i="2"/>
  <c r="Q60" i="2"/>
  <c r="R60" i="2"/>
  <c r="S60" i="2"/>
  <c r="T60" i="2"/>
  <c r="V60" i="2"/>
  <c r="W60" i="2"/>
  <c r="Y60" i="2"/>
  <c r="Z60" i="2"/>
  <c r="AA60" i="2"/>
  <c r="AB60" i="2"/>
  <c r="AC60" i="2"/>
  <c r="AD60" i="2"/>
  <c r="AE60" i="2"/>
  <c r="AF60" i="2"/>
  <c r="AG60" i="2"/>
  <c r="AH60" i="2"/>
  <c r="C61" i="2"/>
  <c r="D61" i="2"/>
  <c r="E61" i="2"/>
  <c r="F61" i="2"/>
  <c r="G61" i="2"/>
  <c r="H61" i="2"/>
  <c r="I61" i="2"/>
  <c r="J61" i="2"/>
  <c r="K61" i="2"/>
  <c r="L61" i="2"/>
  <c r="N61" i="2"/>
  <c r="O61" i="2"/>
  <c r="P61" i="2"/>
  <c r="Q61" i="2"/>
  <c r="R61" i="2"/>
  <c r="S61" i="2"/>
  <c r="T61" i="2"/>
  <c r="V61" i="2"/>
  <c r="W61" i="2"/>
  <c r="Y61" i="2"/>
  <c r="Z61" i="2"/>
  <c r="AA61" i="2"/>
  <c r="AB61" i="2"/>
  <c r="AC61" i="2"/>
  <c r="AD61" i="2"/>
  <c r="AE61" i="2"/>
  <c r="AF61" i="2"/>
  <c r="AG61" i="2"/>
  <c r="AH61" i="2"/>
  <c r="C62" i="2"/>
  <c r="D62" i="2"/>
  <c r="E62" i="2"/>
  <c r="F62" i="2"/>
  <c r="G62" i="2"/>
  <c r="H62" i="2"/>
  <c r="I62" i="2"/>
  <c r="J62" i="2"/>
  <c r="K62" i="2"/>
  <c r="L62" i="2"/>
  <c r="N62" i="2"/>
  <c r="O62" i="2"/>
  <c r="P62" i="2"/>
  <c r="Q62" i="2"/>
  <c r="R62" i="2"/>
  <c r="S62" i="2"/>
  <c r="T62" i="2"/>
  <c r="V62" i="2"/>
  <c r="W62" i="2"/>
  <c r="Y62" i="2"/>
  <c r="Z62" i="2"/>
  <c r="AA62" i="2"/>
  <c r="AB62" i="2"/>
  <c r="AC62" i="2"/>
  <c r="AD62" i="2"/>
  <c r="AE62" i="2"/>
  <c r="AF62" i="2"/>
  <c r="AG62" i="2"/>
  <c r="AH62" i="2"/>
  <c r="C64" i="2"/>
  <c r="D64" i="2"/>
  <c r="K64" i="2"/>
  <c r="L64" i="2"/>
  <c r="T64" i="2"/>
  <c r="AC64" i="2"/>
  <c r="AD64" i="2"/>
  <c r="AH62" i="1" l="1"/>
  <c r="AG62" i="1"/>
  <c r="AF62" i="1"/>
  <c r="AE62" i="1"/>
  <c r="AD62" i="1"/>
  <c r="AC62" i="1"/>
  <c r="AB62" i="1"/>
  <c r="AA62" i="1"/>
  <c r="Z62" i="1"/>
  <c r="Y62" i="1"/>
  <c r="W62" i="1"/>
  <c r="V62" i="1"/>
  <c r="U62" i="1"/>
  <c r="T62" i="1"/>
  <c r="S62" i="1"/>
  <c r="R62" i="1"/>
  <c r="Q62" i="1"/>
  <c r="P62" i="1"/>
  <c r="O62" i="1"/>
  <c r="N62" i="1"/>
  <c r="L62" i="1"/>
  <c r="K62" i="1"/>
  <c r="J62" i="1"/>
  <c r="I62" i="1"/>
  <c r="H62" i="1"/>
  <c r="G62" i="1"/>
  <c r="F62" i="1"/>
  <c r="E62" i="1"/>
  <c r="D62" i="1"/>
  <c r="C62" i="1"/>
  <c r="AH61" i="1"/>
  <c r="AG61" i="1"/>
  <c r="AF61" i="1"/>
  <c r="AE61" i="1"/>
  <c r="AD61" i="1"/>
  <c r="AC61" i="1"/>
  <c r="AB61" i="1"/>
  <c r="AA61" i="1"/>
  <c r="Z61" i="1"/>
  <c r="Y61" i="1"/>
  <c r="W61" i="1"/>
  <c r="V61" i="1"/>
  <c r="U61" i="1"/>
  <c r="T61" i="1"/>
  <c r="S61" i="1"/>
  <c r="R61" i="1"/>
  <c r="Q61" i="1"/>
  <c r="P61" i="1"/>
  <c r="O61" i="1"/>
  <c r="N61" i="1"/>
  <c r="L61" i="1"/>
  <c r="K61" i="1"/>
  <c r="J61" i="1"/>
  <c r="I61" i="1"/>
  <c r="H61" i="1"/>
  <c r="G61" i="1"/>
  <c r="F61" i="1"/>
  <c r="E61" i="1"/>
  <c r="D61" i="1"/>
  <c r="C61" i="1"/>
  <c r="AH60" i="1"/>
  <c r="AG60" i="1"/>
  <c r="AF60" i="1"/>
  <c r="AE60" i="1"/>
  <c r="AD60" i="1"/>
  <c r="AC60" i="1"/>
  <c r="AB60" i="1"/>
  <c r="AA60" i="1"/>
  <c r="Z60" i="1"/>
  <c r="Y60" i="1"/>
  <c r="W60" i="1"/>
  <c r="V60" i="1"/>
  <c r="U60" i="1"/>
  <c r="T60" i="1"/>
  <c r="S60" i="1"/>
  <c r="R60" i="1"/>
  <c r="Q60" i="1"/>
  <c r="P60" i="1"/>
  <c r="O60" i="1"/>
  <c r="N60" i="1"/>
  <c r="L60" i="1"/>
  <c r="K60" i="1"/>
  <c r="J60" i="1"/>
  <c r="I60" i="1"/>
  <c r="H60" i="1"/>
  <c r="G60" i="1"/>
  <c r="F60" i="1"/>
  <c r="E60" i="1"/>
  <c r="D60" i="1"/>
  <c r="C60" i="1"/>
  <c r="AH59" i="1"/>
  <c r="AG59" i="1"/>
  <c r="AF59" i="1"/>
  <c r="AE59" i="1"/>
  <c r="AD59" i="1"/>
  <c r="AC59" i="1"/>
  <c r="AB59" i="1"/>
  <c r="AA59" i="1"/>
  <c r="Z59" i="1"/>
  <c r="Y59" i="1"/>
  <c r="W59" i="1"/>
  <c r="V59" i="1"/>
  <c r="U59" i="1"/>
  <c r="T59" i="1"/>
  <c r="S59" i="1"/>
  <c r="R59" i="1"/>
  <c r="Q59" i="1"/>
  <c r="P59" i="1"/>
  <c r="O59" i="1"/>
  <c r="N59" i="1"/>
  <c r="L59" i="1"/>
  <c r="K59" i="1"/>
  <c r="J59" i="1"/>
  <c r="I59" i="1"/>
  <c r="H59" i="1"/>
  <c r="G59" i="1"/>
  <c r="F59" i="1"/>
  <c r="E59" i="1"/>
  <c r="D59" i="1"/>
  <c r="C59" i="1"/>
  <c r="AH58" i="1"/>
  <c r="AG58" i="1"/>
  <c r="AF58" i="1"/>
  <c r="AE58" i="1"/>
  <c r="AD58" i="1"/>
  <c r="AC58" i="1"/>
  <c r="AB58" i="1"/>
  <c r="AA58" i="1"/>
  <c r="Z58" i="1"/>
  <c r="Y58" i="1"/>
  <c r="W58" i="1"/>
  <c r="V58" i="1"/>
  <c r="U58" i="1"/>
  <c r="T58" i="1"/>
  <c r="S58" i="1"/>
  <c r="R58" i="1"/>
  <c r="Q58" i="1"/>
  <c r="P58" i="1"/>
  <c r="O58" i="1"/>
  <c r="N58" i="1"/>
  <c r="L58" i="1"/>
  <c r="K58" i="1"/>
  <c r="J58" i="1"/>
  <c r="I58" i="1"/>
  <c r="H58" i="1"/>
  <c r="G58" i="1"/>
  <c r="F58" i="1"/>
  <c r="E58" i="1"/>
  <c r="D58" i="1"/>
  <c r="C58" i="1"/>
  <c r="AH57" i="1"/>
  <c r="AG57" i="1"/>
  <c r="AF57" i="1"/>
  <c r="AE57" i="1"/>
  <c r="AD57" i="1"/>
  <c r="AC57" i="1"/>
  <c r="AB57" i="1"/>
  <c r="AA57" i="1"/>
  <c r="Z57" i="1"/>
  <c r="Y57" i="1"/>
  <c r="W57" i="1"/>
  <c r="V57" i="1"/>
  <c r="U57" i="1"/>
  <c r="T57" i="1"/>
  <c r="S57" i="1"/>
  <c r="R57" i="1"/>
  <c r="Q57" i="1"/>
  <c r="P57" i="1"/>
  <c r="O57" i="1"/>
  <c r="N57" i="1"/>
  <c r="L57" i="1"/>
  <c r="K57" i="1"/>
  <c r="J57" i="1"/>
  <c r="I57" i="1"/>
  <c r="H57" i="1"/>
  <c r="G57" i="1"/>
  <c r="F57" i="1"/>
  <c r="E57" i="1"/>
  <c r="D57" i="1"/>
  <c r="C57" i="1"/>
  <c r="AH56" i="1"/>
  <c r="AG56" i="1"/>
  <c r="AF56" i="1"/>
  <c r="AE56" i="1"/>
  <c r="AD56" i="1"/>
  <c r="AC56" i="1"/>
  <c r="AB56" i="1"/>
  <c r="AA56" i="1"/>
  <c r="Z56" i="1"/>
  <c r="Y56" i="1"/>
  <c r="W56" i="1"/>
  <c r="V56" i="1"/>
  <c r="U56" i="1"/>
  <c r="T56" i="1"/>
  <c r="S56" i="1"/>
  <c r="R56" i="1"/>
  <c r="Q56" i="1"/>
  <c r="P56" i="1"/>
  <c r="O56" i="1"/>
  <c r="N56" i="1"/>
  <c r="L56" i="1"/>
  <c r="K56" i="1"/>
  <c r="J56" i="1"/>
  <c r="I56" i="1"/>
  <c r="H56" i="1"/>
  <c r="G56" i="1"/>
  <c r="F56" i="1"/>
  <c r="E56" i="1"/>
  <c r="D56" i="1"/>
  <c r="C56" i="1"/>
  <c r="AH55" i="1"/>
  <c r="AG55" i="1"/>
  <c r="AF55" i="1"/>
  <c r="AE55" i="1"/>
  <c r="AD55" i="1"/>
  <c r="AC55" i="1"/>
  <c r="AB55" i="1"/>
  <c r="AA55" i="1"/>
  <c r="Z55" i="1"/>
  <c r="Y55" i="1"/>
  <c r="W55" i="1"/>
  <c r="V55" i="1"/>
  <c r="U55" i="1"/>
  <c r="T55" i="1"/>
  <c r="S55" i="1"/>
  <c r="R55" i="1"/>
  <c r="Q55" i="1"/>
  <c r="P55" i="1"/>
  <c r="O55" i="1"/>
  <c r="N55" i="1"/>
  <c r="L55" i="1"/>
  <c r="K55" i="1"/>
  <c r="J55" i="1"/>
  <c r="I55" i="1"/>
  <c r="H55" i="1"/>
  <c r="G55" i="1"/>
  <c r="F55" i="1"/>
  <c r="E55" i="1"/>
  <c r="D55" i="1"/>
  <c r="C55" i="1"/>
  <c r="AH54" i="1"/>
  <c r="AG54" i="1"/>
  <c r="AF54" i="1"/>
  <c r="AE54" i="1"/>
  <c r="AD54" i="1"/>
  <c r="AC54" i="1"/>
  <c r="AB54" i="1"/>
  <c r="AA54" i="1"/>
  <c r="Z54" i="1"/>
  <c r="Y54" i="1"/>
  <c r="W54" i="1"/>
  <c r="V54" i="1"/>
  <c r="U54" i="1"/>
  <c r="T54" i="1"/>
  <c r="S54" i="1"/>
  <c r="R54" i="1"/>
  <c r="Q54" i="1"/>
  <c r="P54" i="1"/>
  <c r="O54" i="1"/>
  <c r="N54" i="1"/>
  <c r="L54" i="1"/>
  <c r="K54" i="1"/>
  <c r="J54" i="1"/>
  <c r="I54" i="1"/>
  <c r="H54" i="1"/>
  <c r="G54" i="1"/>
  <c r="F54" i="1"/>
  <c r="E54" i="1"/>
  <c r="D54" i="1"/>
  <c r="C54" i="1"/>
  <c r="AH53" i="1"/>
  <c r="AG53" i="1"/>
  <c r="AF53" i="1"/>
  <c r="AE53" i="1"/>
  <c r="AD53" i="1"/>
  <c r="AC53" i="1"/>
  <c r="AB53" i="1"/>
  <c r="AA53" i="1"/>
  <c r="Z53" i="1"/>
  <c r="Y53" i="1"/>
  <c r="W53" i="1"/>
  <c r="V53" i="1"/>
  <c r="U53" i="1"/>
  <c r="T53" i="1"/>
  <c r="S53" i="1"/>
  <c r="R53" i="1"/>
  <c r="Q53" i="1"/>
  <c r="P53" i="1"/>
  <c r="O53" i="1"/>
  <c r="N53" i="1"/>
  <c r="L53" i="1"/>
  <c r="K53" i="1"/>
  <c r="J53" i="1"/>
  <c r="I53" i="1"/>
  <c r="H53" i="1"/>
  <c r="G53" i="1"/>
  <c r="F53" i="1"/>
  <c r="E53" i="1"/>
  <c r="D53" i="1"/>
  <c r="C53" i="1"/>
  <c r="AH52" i="1"/>
  <c r="AG52" i="1"/>
  <c r="AF52" i="1"/>
  <c r="AE52" i="1"/>
  <c r="AD52" i="1"/>
  <c r="AC52" i="1"/>
  <c r="AB52" i="1"/>
  <c r="AA52" i="1"/>
  <c r="Z52" i="1"/>
  <c r="Y52" i="1"/>
  <c r="W52" i="1"/>
  <c r="V52" i="1"/>
  <c r="U52" i="1"/>
  <c r="T52" i="1"/>
  <c r="S52" i="1"/>
  <c r="R52" i="1"/>
  <c r="Q52" i="1"/>
  <c r="P52" i="1"/>
  <c r="O52" i="1"/>
  <c r="N52" i="1"/>
  <c r="L52" i="1"/>
  <c r="K52" i="1"/>
  <c r="J52" i="1"/>
  <c r="I52" i="1"/>
  <c r="H52" i="1"/>
  <c r="G52" i="1"/>
  <c r="F52" i="1"/>
  <c r="E52" i="1"/>
  <c r="D52" i="1"/>
  <c r="C52" i="1"/>
  <c r="AH51" i="1"/>
  <c r="AG51" i="1"/>
  <c r="AF51" i="1"/>
  <c r="AE51" i="1"/>
  <c r="AD51" i="1"/>
  <c r="AC51" i="1"/>
  <c r="AB51" i="1"/>
  <c r="AA51" i="1"/>
  <c r="Z51" i="1"/>
  <c r="Y51" i="1"/>
  <c r="W51" i="1"/>
  <c r="V51" i="1"/>
  <c r="U51" i="1"/>
  <c r="T51" i="1"/>
  <c r="S51" i="1"/>
  <c r="R51" i="1"/>
  <c r="Q51" i="1"/>
  <c r="P51" i="1"/>
  <c r="O51" i="1"/>
  <c r="N51" i="1"/>
  <c r="L51" i="1"/>
  <c r="K51" i="1"/>
  <c r="J51" i="1"/>
  <c r="I51" i="1"/>
  <c r="H51" i="1"/>
  <c r="G51" i="1"/>
  <c r="F51" i="1"/>
  <c r="E51" i="1"/>
  <c r="D51" i="1"/>
  <c r="C51" i="1"/>
  <c r="AH50" i="1"/>
  <c r="AG50" i="1"/>
  <c r="AF50" i="1"/>
  <c r="AE50" i="1"/>
  <c r="AD50" i="1"/>
  <c r="AC50" i="1"/>
  <c r="AB50" i="1"/>
  <c r="AA50" i="1"/>
  <c r="Z50" i="1"/>
  <c r="Y50" i="1"/>
  <c r="W50" i="1"/>
  <c r="V50" i="1"/>
  <c r="U50" i="1"/>
  <c r="T50" i="1"/>
  <c r="S50" i="1"/>
  <c r="R50" i="1"/>
  <c r="Q50" i="1"/>
  <c r="P50" i="1"/>
  <c r="O50" i="1"/>
  <c r="N50" i="1"/>
  <c r="L50" i="1"/>
  <c r="K50" i="1"/>
  <c r="J50" i="1"/>
  <c r="I50" i="1"/>
  <c r="H50" i="1"/>
  <c r="G50" i="1"/>
  <c r="F50" i="1"/>
  <c r="E50" i="1"/>
  <c r="D50" i="1"/>
  <c r="C50" i="1"/>
  <c r="AH49" i="1"/>
  <c r="AG49" i="1"/>
  <c r="AF49" i="1"/>
  <c r="AE49" i="1"/>
  <c r="AD49" i="1"/>
  <c r="AC49" i="1"/>
  <c r="AB49" i="1"/>
  <c r="AA49" i="1"/>
  <c r="Z49" i="1"/>
  <c r="Y49" i="1"/>
  <c r="W49" i="1"/>
  <c r="V49" i="1"/>
  <c r="U49" i="1"/>
  <c r="T49" i="1"/>
  <c r="S49" i="1"/>
  <c r="R49" i="1"/>
  <c r="Q49" i="1"/>
  <c r="P49" i="1"/>
  <c r="O49" i="1"/>
  <c r="N49" i="1"/>
  <c r="L49" i="1"/>
  <c r="K49" i="1"/>
  <c r="J49" i="1"/>
  <c r="I49" i="1"/>
  <c r="H49" i="1"/>
  <c r="G49" i="1"/>
  <c r="F49" i="1"/>
  <c r="E49" i="1"/>
  <c r="D49" i="1"/>
  <c r="C49" i="1"/>
  <c r="AH48" i="1"/>
  <c r="AH64" i="1" s="1"/>
  <c r="AG48" i="1"/>
  <c r="AG64" i="1" s="1"/>
  <c r="AF48" i="1"/>
  <c r="AF64" i="1" s="1"/>
  <c r="AE48" i="1"/>
  <c r="AE64" i="1" s="1"/>
  <c r="AD48" i="1"/>
  <c r="AD64" i="1" s="1"/>
  <c r="AC48" i="1"/>
  <c r="AC64" i="1" s="1"/>
  <c r="AB48" i="1"/>
  <c r="AB64" i="1" s="1"/>
  <c r="AA48" i="1"/>
  <c r="AA64" i="1" s="1"/>
  <c r="Z48" i="1"/>
  <c r="Z64" i="1" s="1"/>
  <c r="Y48" i="1"/>
  <c r="Y64" i="1" s="1"/>
  <c r="W48" i="1"/>
  <c r="W64" i="1" s="1"/>
  <c r="V48" i="1"/>
  <c r="V64" i="1" s="1"/>
  <c r="U48" i="1"/>
  <c r="U64" i="1" s="1"/>
  <c r="T48" i="1"/>
  <c r="T64" i="1" s="1"/>
  <c r="S48" i="1"/>
  <c r="S64" i="1" s="1"/>
  <c r="R48" i="1"/>
  <c r="R64" i="1" s="1"/>
  <c r="Q48" i="1"/>
  <c r="Q64" i="1" s="1"/>
  <c r="P48" i="1"/>
  <c r="P64" i="1" s="1"/>
  <c r="O48" i="1"/>
  <c r="O64" i="1" s="1"/>
  <c r="N48" i="1"/>
  <c r="N64" i="1" s="1"/>
  <c r="L48" i="1"/>
  <c r="L64" i="1" s="1"/>
  <c r="K48" i="1"/>
  <c r="K64" i="1" s="1"/>
  <c r="J48" i="1"/>
  <c r="J64" i="1" s="1"/>
  <c r="I48" i="1"/>
  <c r="I64" i="1" s="1"/>
  <c r="H48" i="1"/>
  <c r="H64" i="1" s="1"/>
  <c r="G48" i="1"/>
  <c r="G64" i="1" s="1"/>
  <c r="F48" i="1"/>
  <c r="F64" i="1" s="1"/>
  <c r="E48" i="1"/>
  <c r="E64" i="1" s="1"/>
  <c r="D48" i="1"/>
  <c r="D64" i="1" s="1"/>
  <c r="C48" i="1"/>
  <c r="C64" i="1" s="1"/>
  <c r="AH40" i="1"/>
  <c r="AG40" i="1"/>
  <c r="AF40" i="1"/>
  <c r="AE40" i="1"/>
  <c r="AD40" i="1"/>
  <c r="AB40" i="1"/>
  <c r="AA40" i="1"/>
  <c r="Z40" i="1"/>
  <c r="Y40" i="1"/>
  <c r="W40" i="1"/>
  <c r="V40" i="1"/>
  <c r="U40" i="1"/>
  <c r="T40" i="1"/>
  <c r="S40" i="1"/>
  <c r="R40" i="1"/>
  <c r="Q40" i="1"/>
  <c r="P40" i="1"/>
  <c r="O40" i="1"/>
  <c r="N40" i="1"/>
  <c r="L40" i="1"/>
  <c r="K40" i="1"/>
  <c r="J40" i="1"/>
  <c r="I40" i="1"/>
  <c r="H40" i="1"/>
  <c r="G40" i="1"/>
  <c r="F40" i="1"/>
  <c r="E40" i="1"/>
  <c r="C40" i="1"/>
  <c r="AH39" i="1"/>
  <c r="AG39" i="1"/>
  <c r="AF39" i="1"/>
  <c r="AE39" i="1"/>
  <c r="AD39" i="1"/>
  <c r="AB39" i="1"/>
  <c r="AA39" i="1"/>
  <c r="Z39" i="1"/>
  <c r="Y39" i="1"/>
  <c r="W39" i="1"/>
  <c r="V39" i="1"/>
  <c r="U39" i="1"/>
  <c r="T39" i="1"/>
  <c r="S39" i="1"/>
  <c r="R39" i="1"/>
  <c r="Q39" i="1"/>
  <c r="P39" i="1"/>
  <c r="O39" i="1"/>
  <c r="N39" i="1"/>
  <c r="L39" i="1"/>
  <c r="K39" i="1"/>
  <c r="J39" i="1"/>
  <c r="I39" i="1"/>
  <c r="H39" i="1"/>
  <c r="G39" i="1"/>
  <c r="F39" i="1"/>
  <c r="E39" i="1"/>
  <c r="C39" i="1"/>
  <c r="AH38" i="1"/>
  <c r="AG38" i="1"/>
  <c r="AF38" i="1"/>
  <c r="AE38" i="1"/>
  <c r="AD38" i="1"/>
  <c r="AB38" i="1"/>
  <c r="AA38" i="1"/>
  <c r="Z38" i="1"/>
  <c r="Y38" i="1"/>
  <c r="W38" i="1"/>
  <c r="V38" i="1"/>
  <c r="U38" i="1"/>
  <c r="T38" i="1"/>
  <c r="S38" i="1"/>
  <c r="R38" i="1"/>
  <c r="Q38" i="1"/>
  <c r="P38" i="1"/>
  <c r="O38" i="1"/>
  <c r="N38" i="1"/>
  <c r="L38" i="1"/>
  <c r="K38" i="1"/>
  <c r="J38" i="1"/>
  <c r="I38" i="1"/>
  <c r="H38" i="1"/>
  <c r="G38" i="1"/>
  <c r="F38" i="1"/>
  <c r="E38" i="1"/>
  <c r="C38" i="1"/>
  <c r="AH37" i="1"/>
  <c r="AG37" i="1"/>
  <c r="AF37" i="1"/>
  <c r="AE37" i="1"/>
  <c r="AD37" i="1"/>
  <c r="AB37" i="1"/>
  <c r="AA37" i="1"/>
  <c r="Z37" i="1"/>
  <c r="Y37" i="1"/>
  <c r="W37" i="1"/>
  <c r="V37" i="1"/>
  <c r="U37" i="1"/>
  <c r="T37" i="1"/>
  <c r="S37" i="1"/>
  <c r="R37" i="1"/>
  <c r="Q37" i="1"/>
  <c r="P37" i="1"/>
  <c r="O37" i="1"/>
  <c r="N37" i="1"/>
  <c r="L37" i="1"/>
  <c r="K37" i="1"/>
  <c r="J37" i="1"/>
  <c r="I37" i="1"/>
  <c r="H37" i="1"/>
  <c r="G37" i="1"/>
  <c r="F37" i="1"/>
  <c r="E37" i="1"/>
  <c r="C37" i="1"/>
  <c r="AH36" i="1"/>
  <c r="AG36" i="1"/>
  <c r="AF36" i="1"/>
  <c r="AE36" i="1"/>
  <c r="AD36" i="1"/>
  <c r="AB36" i="1"/>
  <c r="AA36" i="1"/>
  <c r="Z36" i="1"/>
  <c r="Y36" i="1"/>
  <c r="W36" i="1"/>
  <c r="V36" i="1"/>
  <c r="U36" i="1"/>
  <c r="T36" i="1"/>
  <c r="S36" i="1"/>
  <c r="R36" i="1"/>
  <c r="Q36" i="1"/>
  <c r="P36" i="1"/>
  <c r="O36" i="1"/>
  <c r="N36" i="1"/>
  <c r="L36" i="1"/>
  <c r="K36" i="1"/>
  <c r="J36" i="1"/>
  <c r="I36" i="1"/>
  <c r="H36" i="1"/>
  <c r="G36" i="1"/>
  <c r="F36" i="1"/>
  <c r="E36" i="1"/>
  <c r="C36" i="1"/>
  <c r="AH35" i="1"/>
  <c r="AG35" i="1"/>
  <c r="AF35" i="1"/>
  <c r="AE35" i="1"/>
  <c r="AD35" i="1"/>
  <c r="AB35" i="1"/>
  <c r="AA35" i="1"/>
  <c r="Z35" i="1"/>
  <c r="Y35" i="1"/>
  <c r="W35" i="1"/>
  <c r="V35" i="1"/>
  <c r="U35" i="1"/>
  <c r="T35" i="1"/>
  <c r="S35" i="1"/>
  <c r="R35" i="1"/>
  <c r="Q35" i="1"/>
  <c r="P35" i="1"/>
  <c r="O35" i="1"/>
  <c r="N35" i="1"/>
  <c r="L35" i="1"/>
  <c r="K35" i="1"/>
  <c r="J35" i="1"/>
  <c r="I35" i="1"/>
  <c r="H35" i="1"/>
  <c r="G35" i="1"/>
  <c r="F35" i="1"/>
  <c r="E35" i="1"/>
  <c r="C35" i="1"/>
  <c r="AH34" i="1"/>
  <c r="AG34" i="1"/>
  <c r="AF34" i="1"/>
  <c r="AE34" i="1"/>
  <c r="AD34" i="1"/>
  <c r="AB34" i="1"/>
  <c r="AA34" i="1"/>
  <c r="Z34" i="1"/>
  <c r="Y34" i="1"/>
  <c r="W34" i="1"/>
  <c r="V34" i="1"/>
  <c r="U34" i="1"/>
  <c r="T34" i="1"/>
  <c r="S34" i="1"/>
  <c r="R34" i="1"/>
  <c r="Q34" i="1"/>
  <c r="P34" i="1"/>
  <c r="O34" i="1"/>
  <c r="N34" i="1"/>
  <c r="L34" i="1"/>
  <c r="K34" i="1"/>
  <c r="J34" i="1"/>
  <c r="I34" i="1"/>
  <c r="H34" i="1"/>
  <c r="G34" i="1"/>
  <c r="F34" i="1"/>
  <c r="E34" i="1"/>
  <c r="C34" i="1"/>
  <c r="AH33" i="1"/>
  <c r="AG33" i="1"/>
  <c r="AF33" i="1"/>
  <c r="AE33" i="1"/>
  <c r="AD33" i="1"/>
  <c r="AB33" i="1"/>
  <c r="AA33" i="1"/>
  <c r="Z33" i="1"/>
  <c r="Y33" i="1"/>
  <c r="W33" i="1"/>
  <c r="V33" i="1"/>
  <c r="U33" i="1"/>
  <c r="T33" i="1"/>
  <c r="S33" i="1"/>
  <c r="R33" i="1"/>
  <c r="Q33" i="1"/>
  <c r="P33" i="1"/>
  <c r="O33" i="1"/>
  <c r="N33" i="1"/>
  <c r="L33" i="1"/>
  <c r="K33" i="1"/>
  <c r="J33" i="1"/>
  <c r="I33" i="1"/>
  <c r="H33" i="1"/>
  <c r="G33" i="1"/>
  <c r="F33" i="1"/>
  <c r="E33" i="1"/>
  <c r="C33" i="1"/>
  <c r="AH32" i="1"/>
  <c r="AG32" i="1"/>
  <c r="AF32" i="1"/>
  <c r="AE32" i="1"/>
  <c r="AD32" i="1"/>
  <c r="AB32" i="1"/>
  <c r="AA32" i="1"/>
  <c r="Z32" i="1"/>
  <c r="Y32" i="1"/>
  <c r="W32" i="1"/>
  <c r="V32" i="1"/>
  <c r="U32" i="1"/>
  <c r="T32" i="1"/>
  <c r="S32" i="1"/>
  <c r="R32" i="1"/>
  <c r="Q32" i="1"/>
  <c r="P32" i="1"/>
  <c r="O32" i="1"/>
  <c r="N32" i="1"/>
  <c r="L32" i="1"/>
  <c r="K32" i="1"/>
  <c r="J32" i="1"/>
  <c r="I32" i="1"/>
  <c r="H32" i="1"/>
  <c r="G32" i="1"/>
  <c r="F32" i="1"/>
  <c r="E32" i="1"/>
  <c r="C32" i="1"/>
  <c r="AH31" i="1"/>
  <c r="AG31" i="1"/>
  <c r="AF31" i="1"/>
  <c r="AE31" i="1"/>
  <c r="AD31" i="1"/>
  <c r="AB31" i="1"/>
  <c r="AA31" i="1"/>
  <c r="Z31" i="1"/>
  <c r="Y31" i="1"/>
  <c r="W31" i="1"/>
  <c r="V31" i="1"/>
  <c r="U31" i="1"/>
  <c r="T31" i="1"/>
  <c r="S31" i="1"/>
  <c r="R31" i="1"/>
  <c r="Q31" i="1"/>
  <c r="P31" i="1"/>
  <c r="O31" i="1"/>
  <c r="N31" i="1"/>
  <c r="L31" i="1"/>
  <c r="K31" i="1"/>
  <c r="J31" i="1"/>
  <c r="I31" i="1"/>
  <c r="H31" i="1"/>
  <c r="G31" i="1"/>
  <c r="F31" i="1"/>
  <c r="E31" i="1"/>
  <c r="C31" i="1"/>
  <c r="AH30" i="1"/>
  <c r="AG30" i="1"/>
  <c r="AF30" i="1"/>
  <c r="AE30" i="1"/>
  <c r="AD30" i="1"/>
  <c r="AB30" i="1"/>
  <c r="AA30" i="1"/>
  <c r="Z30" i="1"/>
  <c r="Y30" i="1"/>
  <c r="W30" i="1"/>
  <c r="V30" i="1"/>
  <c r="U30" i="1"/>
  <c r="T30" i="1"/>
  <c r="S30" i="1"/>
  <c r="R30" i="1"/>
  <c r="Q30" i="1"/>
  <c r="P30" i="1"/>
  <c r="O30" i="1"/>
  <c r="N30" i="1"/>
  <c r="L30" i="1"/>
  <c r="K30" i="1"/>
  <c r="J30" i="1"/>
  <c r="I30" i="1"/>
  <c r="H30" i="1"/>
  <c r="G30" i="1"/>
  <c r="F30" i="1"/>
  <c r="E30" i="1"/>
  <c r="C30" i="1"/>
  <c r="AH29" i="1"/>
  <c r="AG29" i="1"/>
  <c r="AG42" i="1" s="1"/>
  <c r="AF29" i="1"/>
  <c r="AE29" i="1"/>
  <c r="AD29" i="1"/>
  <c r="AB29" i="1"/>
  <c r="AA29" i="1"/>
  <c r="Z29" i="1"/>
  <c r="Y29" i="1"/>
  <c r="Y42" i="1" s="1"/>
  <c r="W29" i="1"/>
  <c r="V29" i="1"/>
  <c r="U29" i="1"/>
  <c r="T29" i="1"/>
  <c r="S29" i="1"/>
  <c r="R29" i="1"/>
  <c r="Q29" i="1"/>
  <c r="P29" i="1"/>
  <c r="P42" i="1" s="1"/>
  <c r="O29" i="1"/>
  <c r="N29" i="1"/>
  <c r="L29" i="1"/>
  <c r="K29" i="1"/>
  <c r="J29" i="1"/>
  <c r="I29" i="1"/>
  <c r="H29" i="1"/>
  <c r="G29" i="1"/>
  <c r="G42" i="1" s="1"/>
  <c r="F29" i="1"/>
  <c r="E29" i="1"/>
  <c r="C29" i="1"/>
  <c r="AH28" i="1"/>
  <c r="AG28" i="1"/>
  <c r="AF28" i="1"/>
  <c r="AF42" i="1" s="1"/>
  <c r="AE28" i="1"/>
  <c r="AD28" i="1"/>
  <c r="AB28" i="1"/>
  <c r="AA28" i="1"/>
  <c r="Z28" i="1"/>
  <c r="Y28" i="1"/>
  <c r="W28" i="1"/>
  <c r="W42" i="1" s="1"/>
  <c r="V28" i="1"/>
  <c r="U28" i="1"/>
  <c r="T28" i="1"/>
  <c r="S28" i="1"/>
  <c r="R28" i="1"/>
  <c r="Q28" i="1"/>
  <c r="P28" i="1"/>
  <c r="O28" i="1"/>
  <c r="O42" i="1" s="1"/>
  <c r="N28" i="1"/>
  <c r="L28" i="1"/>
  <c r="K28" i="1"/>
  <c r="J28" i="1"/>
  <c r="I28" i="1"/>
  <c r="H28" i="1"/>
  <c r="G28" i="1"/>
  <c r="F28" i="1"/>
  <c r="F42" i="1" s="1"/>
  <c r="E28" i="1"/>
  <c r="C28" i="1"/>
  <c r="AH27" i="1"/>
  <c r="AG27" i="1"/>
  <c r="AF27" i="1"/>
  <c r="AE27" i="1"/>
  <c r="AD27" i="1"/>
  <c r="AB27" i="1"/>
  <c r="AA27" i="1"/>
  <c r="Z27" i="1"/>
  <c r="Y27" i="1"/>
  <c r="W27" i="1"/>
  <c r="V27" i="1"/>
  <c r="U27" i="1"/>
  <c r="T27" i="1"/>
  <c r="S27" i="1"/>
  <c r="R27" i="1"/>
  <c r="Q27" i="1"/>
  <c r="P27" i="1"/>
  <c r="O27" i="1"/>
  <c r="N27" i="1"/>
  <c r="L27" i="1"/>
  <c r="K27" i="1"/>
  <c r="J27" i="1"/>
  <c r="I27" i="1"/>
  <c r="H27" i="1"/>
  <c r="G27" i="1"/>
  <c r="F27" i="1"/>
  <c r="E27" i="1"/>
  <c r="C27" i="1"/>
  <c r="AH26" i="1"/>
  <c r="AH42" i="1" s="1"/>
  <c r="AG26" i="1"/>
  <c r="AF26" i="1"/>
  <c r="AE26" i="1"/>
  <c r="AE42" i="1" s="1"/>
  <c r="AD26" i="1"/>
  <c r="AD42" i="1" s="1"/>
  <c r="AB26" i="1"/>
  <c r="AB42" i="1" s="1"/>
  <c r="AA26" i="1"/>
  <c r="AA42" i="1" s="1"/>
  <c r="Z26" i="1"/>
  <c r="Z42" i="1" s="1"/>
  <c r="Y26" i="1"/>
  <c r="W26" i="1"/>
  <c r="V26" i="1"/>
  <c r="V42" i="1" s="1"/>
  <c r="U26" i="1"/>
  <c r="U42" i="1" s="1"/>
  <c r="T26" i="1"/>
  <c r="T42" i="1" s="1"/>
  <c r="S26" i="1"/>
  <c r="S42" i="1" s="1"/>
  <c r="R26" i="1"/>
  <c r="R42" i="1" s="1"/>
  <c r="Q26" i="1"/>
  <c r="Q42" i="1" s="1"/>
  <c r="P26" i="1"/>
  <c r="O26" i="1"/>
  <c r="N26" i="1"/>
  <c r="N42" i="1" s="1"/>
  <c r="L26" i="1"/>
  <c r="L42" i="1" s="1"/>
  <c r="K26" i="1"/>
  <c r="K42" i="1" s="1"/>
  <c r="J26" i="1"/>
  <c r="J42" i="1" s="1"/>
  <c r="I26" i="1"/>
  <c r="I42" i="1" s="1"/>
  <c r="H26" i="1"/>
  <c r="H42" i="1" s="1"/>
  <c r="G26" i="1"/>
  <c r="F26" i="1"/>
  <c r="E26" i="1"/>
  <c r="E42" i="1" s="1"/>
  <c r="C26" i="1"/>
  <c r="C42" i="1" s="1"/>
  <c r="AH18" i="1"/>
  <c r="AG18" i="1"/>
  <c r="AF18" i="1"/>
  <c r="AE18" i="1"/>
  <c r="AD18" i="1"/>
  <c r="AC18" i="1"/>
  <c r="AB18" i="1"/>
  <c r="AA18" i="1"/>
  <c r="Y18" i="1"/>
  <c r="W18" i="1"/>
  <c r="V18" i="1"/>
  <c r="U18" i="1"/>
  <c r="T18" i="1"/>
  <c r="S18" i="1"/>
  <c r="R18" i="1"/>
  <c r="P18" i="1"/>
  <c r="O18" i="1"/>
  <c r="N18" i="1"/>
  <c r="L18" i="1"/>
  <c r="J18" i="1"/>
  <c r="I18" i="1"/>
  <c r="H18" i="1"/>
  <c r="G18" i="1"/>
  <c r="F18" i="1"/>
  <c r="E18" i="1"/>
  <c r="D18" i="1"/>
  <c r="C18" i="1"/>
  <c r="AH17" i="1"/>
  <c r="AG17" i="1"/>
  <c r="AF17" i="1"/>
  <c r="AE17" i="1"/>
  <c r="AD17" i="1"/>
  <c r="AC17" i="1"/>
  <c r="AB17" i="1"/>
  <c r="AA17" i="1"/>
  <c r="Y17" i="1"/>
  <c r="W17" i="1"/>
  <c r="V17" i="1"/>
  <c r="U17" i="1"/>
  <c r="T17" i="1"/>
  <c r="S17" i="1"/>
  <c r="R17" i="1"/>
  <c r="P17" i="1"/>
  <c r="O17" i="1"/>
  <c r="N17" i="1"/>
  <c r="L17" i="1"/>
  <c r="J17" i="1"/>
  <c r="I17" i="1"/>
  <c r="H17" i="1"/>
  <c r="G17" i="1"/>
  <c r="F17" i="1"/>
  <c r="E17" i="1"/>
  <c r="D17" i="1"/>
  <c r="C17" i="1"/>
  <c r="AH16" i="1"/>
  <c r="AG16" i="1"/>
  <c r="AF16" i="1"/>
  <c r="AE16" i="1"/>
  <c r="AD16" i="1"/>
  <c r="AC16" i="1"/>
  <c r="AB16" i="1"/>
  <c r="AA16" i="1"/>
  <c r="Y16" i="1"/>
  <c r="W16" i="1"/>
  <c r="V16" i="1"/>
  <c r="U16" i="1"/>
  <c r="T16" i="1"/>
  <c r="S16" i="1"/>
  <c r="R16" i="1"/>
  <c r="P16" i="1"/>
  <c r="O16" i="1"/>
  <c r="N16" i="1"/>
  <c r="L16" i="1"/>
  <c r="J16" i="1"/>
  <c r="I16" i="1"/>
  <c r="H16" i="1"/>
  <c r="G16" i="1"/>
  <c r="F16" i="1"/>
  <c r="E16" i="1"/>
  <c r="D16" i="1"/>
  <c r="C16" i="1"/>
  <c r="AH15" i="1"/>
  <c r="AG15" i="1"/>
  <c r="AF15" i="1"/>
  <c r="AE15" i="1"/>
  <c r="AD15" i="1"/>
  <c r="AC15" i="1"/>
  <c r="AB15" i="1"/>
  <c r="AA15" i="1"/>
  <c r="Y15" i="1"/>
  <c r="W15" i="1"/>
  <c r="V15" i="1"/>
  <c r="U15" i="1"/>
  <c r="T15" i="1"/>
  <c r="S15" i="1"/>
  <c r="R15" i="1"/>
  <c r="P15" i="1"/>
  <c r="O15" i="1"/>
  <c r="N15" i="1"/>
  <c r="L15" i="1"/>
  <c r="J15" i="1"/>
  <c r="I15" i="1"/>
  <c r="H15" i="1"/>
  <c r="G15" i="1"/>
  <c r="F15" i="1"/>
  <c r="E15" i="1"/>
  <c r="D15" i="1"/>
  <c r="C15" i="1"/>
  <c r="AH14" i="1"/>
  <c r="AG14" i="1"/>
  <c r="AF14" i="1"/>
  <c r="AE14" i="1"/>
  <c r="AD14" i="1"/>
  <c r="AC14" i="1"/>
  <c r="AB14" i="1"/>
  <c r="AA14" i="1"/>
  <c r="Y14" i="1"/>
  <c r="W14" i="1"/>
  <c r="V14" i="1"/>
  <c r="U14" i="1"/>
  <c r="T14" i="1"/>
  <c r="S14" i="1"/>
  <c r="R14" i="1"/>
  <c r="P14" i="1"/>
  <c r="O14" i="1"/>
  <c r="N14" i="1"/>
  <c r="L14" i="1"/>
  <c r="J14" i="1"/>
  <c r="I14" i="1"/>
  <c r="H14" i="1"/>
  <c r="G14" i="1"/>
  <c r="F14" i="1"/>
  <c r="E14" i="1"/>
  <c r="D14" i="1"/>
  <c r="C14" i="1"/>
  <c r="AH13" i="1"/>
  <c r="AG13" i="1"/>
  <c r="AF13" i="1"/>
  <c r="AE13" i="1"/>
  <c r="AD13" i="1"/>
  <c r="AC13" i="1"/>
  <c r="AB13" i="1"/>
  <c r="AA13" i="1"/>
  <c r="Y13" i="1"/>
  <c r="W13" i="1"/>
  <c r="V13" i="1"/>
  <c r="U13" i="1"/>
  <c r="T13" i="1"/>
  <c r="S13" i="1"/>
  <c r="R13" i="1"/>
  <c r="P13" i="1"/>
  <c r="O13" i="1"/>
  <c r="N13" i="1"/>
  <c r="L13" i="1"/>
  <c r="J13" i="1"/>
  <c r="I13" i="1"/>
  <c r="H13" i="1"/>
  <c r="G13" i="1"/>
  <c r="F13" i="1"/>
  <c r="E13" i="1"/>
  <c r="D13" i="1"/>
  <c r="C13" i="1"/>
  <c r="AH12" i="1"/>
  <c r="AG12" i="1"/>
  <c r="AF12" i="1"/>
  <c r="AE12" i="1"/>
  <c r="AD12" i="1"/>
  <c r="AC12" i="1"/>
  <c r="AB12" i="1"/>
  <c r="AA12" i="1"/>
  <c r="Y12" i="1"/>
  <c r="W12" i="1"/>
  <c r="V12" i="1"/>
  <c r="U12" i="1"/>
  <c r="T12" i="1"/>
  <c r="S12" i="1"/>
  <c r="R12" i="1"/>
  <c r="P12" i="1"/>
  <c r="O12" i="1"/>
  <c r="N12" i="1"/>
  <c r="L12" i="1"/>
  <c r="J12" i="1"/>
  <c r="I12" i="1"/>
  <c r="H12" i="1"/>
  <c r="G12" i="1"/>
  <c r="F12" i="1"/>
  <c r="E12" i="1"/>
  <c r="D12" i="1"/>
  <c r="C12" i="1"/>
  <c r="AH11" i="1"/>
  <c r="AG11" i="1"/>
  <c r="AF11" i="1"/>
  <c r="AE11" i="1"/>
  <c r="AD11" i="1"/>
  <c r="AC11" i="1"/>
  <c r="AB11" i="1"/>
  <c r="AA11" i="1"/>
  <c r="Y11" i="1"/>
  <c r="W11" i="1"/>
  <c r="V11" i="1"/>
  <c r="U11" i="1"/>
  <c r="T11" i="1"/>
  <c r="S11" i="1"/>
  <c r="R11" i="1"/>
  <c r="P11" i="1"/>
  <c r="O11" i="1"/>
  <c r="N11" i="1"/>
  <c r="L11" i="1"/>
  <c r="J11" i="1"/>
  <c r="I11" i="1"/>
  <c r="H11" i="1"/>
  <c r="G11" i="1"/>
  <c r="F11" i="1"/>
  <c r="E11" i="1"/>
  <c r="D11" i="1"/>
  <c r="C11" i="1"/>
  <c r="AH10" i="1"/>
  <c r="AG10" i="1"/>
  <c r="AF10" i="1"/>
  <c r="AE10" i="1"/>
  <c r="AD10" i="1"/>
  <c r="AC10" i="1"/>
  <c r="AB10" i="1"/>
  <c r="AA10" i="1"/>
  <c r="Y10" i="1"/>
  <c r="W10" i="1"/>
  <c r="V10" i="1"/>
  <c r="U10" i="1"/>
  <c r="T10" i="1"/>
  <c r="S10" i="1"/>
  <c r="R10" i="1"/>
  <c r="P10" i="1"/>
  <c r="O10" i="1"/>
  <c r="N10" i="1"/>
  <c r="L10" i="1"/>
  <c r="J10" i="1"/>
  <c r="I10" i="1"/>
  <c r="H10" i="1"/>
  <c r="G10" i="1"/>
  <c r="F10" i="1"/>
  <c r="E10" i="1"/>
  <c r="D10" i="1"/>
  <c r="C10" i="1"/>
  <c r="AH9" i="1"/>
  <c r="AG9" i="1"/>
  <c r="AF9" i="1"/>
  <c r="AE9" i="1"/>
  <c r="AD9" i="1"/>
  <c r="AC9" i="1"/>
  <c r="AB9" i="1"/>
  <c r="AA9" i="1"/>
  <c r="Y9" i="1"/>
  <c r="W9" i="1"/>
  <c r="V9" i="1"/>
  <c r="U9" i="1"/>
  <c r="T9" i="1"/>
  <c r="S9" i="1"/>
  <c r="R9" i="1"/>
  <c r="P9" i="1"/>
  <c r="O9" i="1"/>
  <c r="N9" i="1"/>
  <c r="L9" i="1"/>
  <c r="J9" i="1"/>
  <c r="I9" i="1"/>
  <c r="H9" i="1"/>
  <c r="G9" i="1"/>
  <c r="F9" i="1"/>
  <c r="E9" i="1"/>
  <c r="D9" i="1"/>
  <c r="C9" i="1"/>
  <c r="AH8" i="1"/>
  <c r="AG8" i="1"/>
  <c r="AF8" i="1"/>
  <c r="AE8" i="1"/>
  <c r="AD8" i="1"/>
  <c r="AC8" i="1"/>
  <c r="AB8" i="1"/>
  <c r="AA8" i="1"/>
  <c r="Y8" i="1"/>
  <c r="W8" i="1"/>
  <c r="V8" i="1"/>
  <c r="U8" i="1"/>
  <c r="T8" i="1"/>
  <c r="S8" i="1"/>
  <c r="R8" i="1"/>
  <c r="P8" i="1"/>
  <c r="O8" i="1"/>
  <c r="N8" i="1"/>
  <c r="L8" i="1"/>
  <c r="J8" i="1"/>
  <c r="I8" i="1"/>
  <c r="H8" i="1"/>
  <c r="G8" i="1"/>
  <c r="F8" i="1"/>
  <c r="E8" i="1"/>
  <c r="D8" i="1"/>
  <c r="C8" i="1"/>
  <c r="AH7" i="1"/>
  <c r="AG7" i="1"/>
  <c r="AG20" i="1" s="1"/>
  <c r="AF7" i="1"/>
  <c r="AF20" i="1" s="1"/>
  <c r="AE7" i="1"/>
  <c r="AD7" i="1"/>
  <c r="AC7" i="1"/>
  <c r="AB7" i="1"/>
  <c r="AA7" i="1"/>
  <c r="Y7" i="1"/>
  <c r="Y20" i="1" s="1"/>
  <c r="W7" i="1"/>
  <c r="W20" i="1" s="1"/>
  <c r="V7" i="1"/>
  <c r="U7" i="1"/>
  <c r="T7" i="1"/>
  <c r="S7" i="1"/>
  <c r="R7" i="1"/>
  <c r="P7" i="1"/>
  <c r="P20" i="1" s="1"/>
  <c r="O7" i="1"/>
  <c r="O20" i="1" s="1"/>
  <c r="N7" i="1"/>
  <c r="L7" i="1"/>
  <c r="J7" i="1"/>
  <c r="I7" i="1"/>
  <c r="H7" i="1"/>
  <c r="G7" i="1"/>
  <c r="G20" i="1" s="1"/>
  <c r="F7" i="1"/>
  <c r="F20" i="1" s="1"/>
  <c r="E7" i="1"/>
  <c r="D7" i="1"/>
  <c r="C7" i="1"/>
  <c r="AH6" i="1"/>
  <c r="AG6" i="1"/>
  <c r="AF6" i="1"/>
  <c r="AE6" i="1"/>
  <c r="AD6" i="1"/>
  <c r="AC6" i="1"/>
  <c r="AB6" i="1"/>
  <c r="AA6" i="1"/>
  <c r="Y6" i="1"/>
  <c r="W6" i="1"/>
  <c r="V6" i="1"/>
  <c r="U6" i="1"/>
  <c r="T6" i="1"/>
  <c r="S6" i="1"/>
  <c r="R6" i="1"/>
  <c r="P6" i="1"/>
  <c r="O6" i="1"/>
  <c r="N6" i="1"/>
  <c r="L6" i="1"/>
  <c r="J6" i="1"/>
  <c r="I6" i="1"/>
  <c r="H6" i="1"/>
  <c r="G6" i="1"/>
  <c r="F6" i="1"/>
  <c r="E6" i="1"/>
  <c r="D6" i="1"/>
  <c r="C6" i="1"/>
  <c r="AH5" i="1"/>
  <c r="AG5" i="1"/>
  <c r="AF5" i="1"/>
  <c r="AE5" i="1"/>
  <c r="AD5" i="1"/>
  <c r="AC5" i="1"/>
  <c r="AB5" i="1"/>
  <c r="AA5" i="1"/>
  <c r="Y5" i="1"/>
  <c r="W5" i="1"/>
  <c r="V5" i="1"/>
  <c r="U5" i="1"/>
  <c r="T5" i="1"/>
  <c r="S5" i="1"/>
  <c r="R5" i="1"/>
  <c r="P5" i="1"/>
  <c r="O5" i="1"/>
  <c r="N5" i="1"/>
  <c r="L5" i="1"/>
  <c r="J5" i="1"/>
  <c r="I5" i="1"/>
  <c r="H5" i="1"/>
  <c r="G5" i="1"/>
  <c r="F5" i="1"/>
  <c r="E5" i="1"/>
  <c r="D5" i="1"/>
  <c r="C5" i="1"/>
  <c r="AH4" i="1"/>
  <c r="AH20" i="1" s="1"/>
  <c r="AG4" i="1"/>
  <c r="AF4" i="1"/>
  <c r="AE4" i="1"/>
  <c r="AE20" i="1" s="1"/>
  <c r="AD4" i="1"/>
  <c r="AD20" i="1" s="1"/>
  <c r="AC4" i="1"/>
  <c r="AC20" i="1" s="1"/>
  <c r="AB4" i="1"/>
  <c r="AB20" i="1" s="1"/>
  <c r="AA4" i="1"/>
  <c r="AA20" i="1" s="1"/>
  <c r="Y4" i="1"/>
  <c r="W4" i="1"/>
  <c r="V4" i="1"/>
  <c r="V20" i="1" s="1"/>
  <c r="U4" i="1"/>
  <c r="U20" i="1" s="1"/>
  <c r="T4" i="1"/>
  <c r="T20" i="1" s="1"/>
  <c r="S4" i="1"/>
  <c r="S20" i="1" s="1"/>
  <c r="R4" i="1"/>
  <c r="R20" i="1" s="1"/>
  <c r="P4" i="1"/>
  <c r="O4" i="1"/>
  <c r="N4" i="1"/>
  <c r="N20" i="1" s="1"/>
  <c r="L4" i="1"/>
  <c r="L20" i="1" s="1"/>
  <c r="J4" i="1"/>
  <c r="J20" i="1" s="1"/>
  <c r="I4" i="1"/>
  <c r="I20" i="1" s="1"/>
  <c r="H4" i="1"/>
  <c r="H20" i="1" s="1"/>
  <c r="G4" i="1"/>
  <c r="F4" i="1"/>
  <c r="E4" i="1"/>
  <c r="E20" i="1" s="1"/>
  <c r="D4" i="1"/>
  <c r="D20" i="1" s="1"/>
  <c r="C4" i="1"/>
  <c r="C20" i="1" s="1"/>
</calcChain>
</file>

<file path=xl/sharedStrings.xml><?xml version="1.0" encoding="utf-8"?>
<sst xmlns="http://schemas.openxmlformats.org/spreadsheetml/2006/main" count="566" uniqueCount="147">
  <si>
    <t>eWAT</t>
  </si>
  <si>
    <t>Ceramide</t>
  </si>
  <si>
    <t>mmol/kg of tissue</t>
  </si>
  <si>
    <t>eWAT H1</t>
  </si>
  <si>
    <t>eWAT H2</t>
  </si>
  <si>
    <t>eWAT H3</t>
  </si>
  <si>
    <t>eWAT H4</t>
  </si>
  <si>
    <t>eWAT H5</t>
  </si>
  <si>
    <t>eWAT H6</t>
  </si>
  <si>
    <t>eWAT H7</t>
  </si>
  <si>
    <t>eWAT H8</t>
  </si>
  <si>
    <t>eWAT H9</t>
  </si>
  <si>
    <t>eWAT H10</t>
  </si>
  <si>
    <t>eWAT X1</t>
  </si>
  <si>
    <t>eWAT X2</t>
  </si>
  <si>
    <t>eWAT X3</t>
  </si>
  <si>
    <t>eWAT X4</t>
  </si>
  <si>
    <t>eWAT X5</t>
  </si>
  <si>
    <t>eWAT X6</t>
  </si>
  <si>
    <t>eWAT X7</t>
  </si>
  <si>
    <t>eWAT X8</t>
  </si>
  <si>
    <t>eWAT X9</t>
  </si>
  <si>
    <t>eWAT X10</t>
  </si>
  <si>
    <t>eWAT NR1</t>
  </si>
  <si>
    <t>eWAT NR2</t>
  </si>
  <si>
    <t>eWAT NR3</t>
  </si>
  <si>
    <t>eWAT NR4</t>
  </si>
  <si>
    <t>eWAT NR5</t>
  </si>
  <si>
    <t>eWAT NR7</t>
  </si>
  <si>
    <t>eWAT NR8</t>
  </si>
  <si>
    <t>eWAT NR9</t>
  </si>
  <si>
    <t>eWAT NR10</t>
  </si>
  <si>
    <t>eWAT NR11</t>
  </si>
  <si>
    <t>Myristic (14:0)</t>
  </si>
  <si>
    <t>Methyl pentadecanoic (15:0)</t>
  </si>
  <si>
    <t>Palmitic (16:0)</t>
  </si>
  <si>
    <t>Palmitoleic (16:1)</t>
  </si>
  <si>
    <t>Stearic(18:0)</t>
  </si>
  <si>
    <t>Oleic (18:1n9c)</t>
  </si>
  <si>
    <t>Linoleic (18:2n6c)</t>
  </si>
  <si>
    <t>Arachidic (20:0)</t>
  </si>
  <si>
    <t>α-Linolenic (18:3n3)</t>
  </si>
  <si>
    <t>Behenic (22:0)</t>
  </si>
  <si>
    <t>Arachidonic (20:4n6)</t>
  </si>
  <si>
    <t>Lignoceric (24:0)</t>
  </si>
  <si>
    <t>cis-5,8,11,14,17-Eicosapentaenoic (20:5n3)</t>
  </si>
  <si>
    <t>Nervonic (24:1n9)</t>
  </si>
  <si>
    <t>cis-4,7,10,13,16,19-Docosahexaenoic (22:6n3)</t>
  </si>
  <si>
    <t>Total:</t>
  </si>
  <si>
    <t>DAG</t>
  </si>
  <si>
    <t>Heptadecanoic (17:0)</t>
  </si>
  <si>
    <t>TAG</t>
  </si>
  <si>
    <t>iWAT NR11</t>
  </si>
  <si>
    <t>iWAT NR10</t>
  </si>
  <si>
    <t>iWAT NR9</t>
  </si>
  <si>
    <t>iWAT NR8</t>
  </si>
  <si>
    <t>iWAT NR7</t>
  </si>
  <si>
    <t>iWAT NR5</t>
  </si>
  <si>
    <t>iWAT NR4</t>
  </si>
  <si>
    <t>iWAT NR3</t>
  </si>
  <si>
    <t>iWAT NR2</t>
  </si>
  <si>
    <t>iWAT NR1</t>
  </si>
  <si>
    <t>iWAT X10</t>
  </si>
  <si>
    <t>iWAT X9</t>
  </si>
  <si>
    <t>iWAT X8</t>
  </si>
  <si>
    <t>iWAT X7</t>
  </si>
  <si>
    <t>iWAT X6</t>
  </si>
  <si>
    <t>iWAT X5</t>
  </si>
  <si>
    <t>iWAT X4</t>
  </si>
  <si>
    <t>iWAT X3</t>
  </si>
  <si>
    <t>iWAT X2</t>
  </si>
  <si>
    <t>iWAT X1</t>
  </si>
  <si>
    <t>iWAT H10</t>
  </si>
  <si>
    <t>iWAT H9</t>
  </si>
  <si>
    <t>iWAT H8</t>
  </si>
  <si>
    <t>iWAT H7</t>
  </si>
  <si>
    <t>iWAT H6</t>
  </si>
  <si>
    <t>iWAT H5</t>
  </si>
  <si>
    <t>iWAT H4</t>
  </si>
  <si>
    <t>iWAT H3</t>
  </si>
  <si>
    <t>iWAT H2</t>
  </si>
  <si>
    <t>iWAT H1</t>
  </si>
  <si>
    <t>iWAT</t>
  </si>
  <si>
    <t>Liver</t>
  </si>
  <si>
    <t xml:space="preserve"> L H1</t>
  </si>
  <si>
    <t xml:space="preserve"> L H2</t>
  </si>
  <si>
    <t xml:space="preserve"> L H3</t>
  </si>
  <si>
    <t xml:space="preserve"> L H4</t>
  </si>
  <si>
    <t xml:space="preserve"> L H5</t>
  </si>
  <si>
    <t xml:space="preserve"> L H6</t>
  </si>
  <si>
    <t xml:space="preserve"> L H7</t>
  </si>
  <si>
    <t xml:space="preserve"> L H8</t>
  </si>
  <si>
    <t xml:space="preserve"> L H9</t>
  </si>
  <si>
    <t xml:space="preserve"> L H10</t>
  </si>
  <si>
    <t>L X1</t>
  </si>
  <si>
    <t>L X2</t>
  </si>
  <si>
    <t>L X3</t>
  </si>
  <si>
    <t>L X4</t>
  </si>
  <si>
    <t>L X5</t>
  </si>
  <si>
    <t>L X6</t>
  </si>
  <si>
    <t>L X7</t>
  </si>
  <si>
    <t>L X8</t>
  </si>
  <si>
    <t>L X9</t>
  </si>
  <si>
    <t>L X10</t>
  </si>
  <si>
    <t>L NR1</t>
  </si>
  <si>
    <t>L NR2</t>
  </si>
  <si>
    <t>L NR3</t>
  </si>
  <si>
    <t>L NR4</t>
  </si>
  <si>
    <t>L NR5</t>
  </si>
  <si>
    <t>L NR6</t>
  </si>
  <si>
    <t>L NR7</t>
  </si>
  <si>
    <t>L NR8</t>
  </si>
  <si>
    <t>L NR9</t>
  </si>
  <si>
    <t>L NR10</t>
  </si>
  <si>
    <t>Avg</t>
  </si>
  <si>
    <t>Stdv</t>
  </si>
  <si>
    <t>SkM</t>
  </si>
  <si>
    <t>SKM H1</t>
  </si>
  <si>
    <t>SKM H2</t>
  </si>
  <si>
    <t>SKM H3</t>
  </si>
  <si>
    <t>SKM H4</t>
  </si>
  <si>
    <t>SKM H5</t>
  </si>
  <si>
    <t>SKM H6</t>
  </si>
  <si>
    <t>SKM H7</t>
  </si>
  <si>
    <t>SKM H8</t>
  </si>
  <si>
    <t>SKM H9</t>
  </si>
  <si>
    <t>SKM H10</t>
  </si>
  <si>
    <t>SKM X1</t>
  </si>
  <si>
    <t>SKM X2</t>
  </si>
  <si>
    <t>SKM X3</t>
  </si>
  <si>
    <t>SKM X4</t>
  </si>
  <si>
    <t>SKM X5</t>
  </si>
  <si>
    <t>SKM X6</t>
  </si>
  <si>
    <t>SKM X7</t>
  </si>
  <si>
    <t>SKM X8</t>
  </si>
  <si>
    <t>SKM X9</t>
  </si>
  <si>
    <t>SKM X10</t>
  </si>
  <si>
    <t>SKM NR1</t>
  </si>
  <si>
    <t>SKM NR2</t>
  </si>
  <si>
    <t>SKM NR3</t>
  </si>
  <si>
    <t>SKM NR4</t>
  </si>
  <si>
    <t>SKM NR5</t>
  </si>
  <si>
    <t>SKM NR7</t>
  </si>
  <si>
    <t>SKM NR8</t>
  </si>
  <si>
    <t>SKM NR9</t>
  </si>
  <si>
    <t>SKM NR10</t>
  </si>
  <si>
    <t>SKM NR11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</si>
</sst>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charset val="238"/>
      <scheme val="minor"/>
    </font>
    <font>
      <b/>
      <sz val="12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/>
    <xf numFmtId="0" fontId="4" fillId="0" borderId="0" xfId="0" applyFont="1" applyFill="1"/>
    <xf numFmtId="2" fontId="0" fillId="0" borderId="0" xfId="0" applyNumberFormat="1" applyFill="1"/>
    <xf numFmtId="2" fontId="4" fillId="0" borderId="0" xfId="0" applyNumberFormat="1" applyFont="1" applyFill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left" indent="1"/>
    </xf>
    <xf numFmtId="165" fontId="4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2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chel/Desktop/NR%20+%20Exercise%20Study/DATA/Lipidomics/eWAT/eWAT%20GC%20Results.xlsx" TargetMode="External"/><Relationship Id="rId1" Type="http://schemas.openxmlformats.org/officeDocument/2006/relationships/externalLinkPath" Target="/Users/rachel/Desktop/NR%20+%20Exercise%20Study/DATA/Lipidomics/eWAT/eWAT%20GC%20Resul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chel/Desktop/NR%20+%20Exercise%20Study/DATA/Lipidomics/iWAT/iWAT%20GC%20Results.xlsx" TargetMode="External"/><Relationship Id="rId1" Type="http://schemas.openxmlformats.org/officeDocument/2006/relationships/externalLinkPath" Target="/Users/rachel/Desktop/NR%20+%20Exercise%20Study/DATA/Lipidomics/iWAT/iWAT%20GC%20Resul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chel/Desktop/NR%20+%20Exercise%20Study/DATA/Lipidomics/Liver/Liver%20GC%20Results.xlsx" TargetMode="External"/><Relationship Id="rId1" Type="http://schemas.openxmlformats.org/officeDocument/2006/relationships/externalLinkPath" Target="/Users/rachel/Desktop/NR%20+%20Exercise%20Study/DATA/Lipidomics/Liver/Liver%20GC%20Resul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chel/Desktop/NR%20+%20Exercise%20Study/DATA/Lipidomics/Skeletal%20Muscle/SKM%20GC%20Results.xlsx" TargetMode="External"/><Relationship Id="rId1" Type="http://schemas.openxmlformats.org/officeDocument/2006/relationships/externalLinkPath" Target="/Users/rachel/Desktop/NR%20+%20Exercise%20Study/DATA/Lipidomics/Skeletal%20Muscle/SKM%20GC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 Venn Diagram (DOWN)"/>
      <sheetName val="R eWAT - TAG"/>
      <sheetName val="R eWAT - TAG (ordered)"/>
      <sheetName val="R eWAT - DAG"/>
      <sheetName val="R eWAT - DAG (ordered)"/>
      <sheetName val="R eWAT - Ceramide"/>
      <sheetName val="R eWAT - Ceramide (ordered)"/>
      <sheetName val="R eWAT - TAG (%H)"/>
      <sheetName val="R eWAT - DAG (%H)"/>
      <sheetName val="R eWAT - Ceramide (%H)"/>
      <sheetName val="R eWAT - Ceramide (%H) (2)"/>
      <sheetName val="eWAT - GC Results (nmol g)"/>
      <sheetName val="eWAT - GC Results (mmol kg)"/>
      <sheetName val="eWAT - TAG"/>
      <sheetName val="eWAT - DAG"/>
      <sheetName val="eWAT - Ceram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>
            <v>8.7518890963272735</v>
          </cell>
          <cell r="D4">
            <v>12.384796598582286</v>
          </cell>
          <cell r="E4">
            <v>10.041128283380818</v>
          </cell>
          <cell r="F4">
            <v>14.178849495826036</v>
          </cell>
          <cell r="G4">
            <v>12.017351414030008</v>
          </cell>
          <cell r="H4">
            <v>19.435232375942533</v>
          </cell>
          <cell r="I4">
            <v>8.4483379377978736</v>
          </cell>
          <cell r="J4">
            <v>9.7870029930504483</v>
          </cell>
          <cell r="L4">
            <v>26.526409381815391</v>
          </cell>
          <cell r="N4">
            <v>9.6093339041925834</v>
          </cell>
          <cell r="O4">
            <v>18.174712172647876</v>
          </cell>
          <cell r="P4">
            <v>21.647623098404299</v>
          </cell>
          <cell r="R4">
            <v>37.070223412738059</v>
          </cell>
          <cell r="S4">
            <v>19.213378840209266</v>
          </cell>
          <cell r="T4">
            <v>11.908214639781534</v>
          </cell>
          <cell r="U4">
            <v>12.666259011403209</v>
          </cell>
          <cell r="V4">
            <v>13.39584664792315</v>
          </cell>
          <cell r="W4">
            <v>16.457128559680214</v>
          </cell>
          <cell r="Y4">
            <v>9.4873983153672228</v>
          </cell>
          <cell r="AA4">
            <v>15.051845213861546</v>
          </cell>
          <cell r="AB4">
            <v>11.055989561476176</v>
          </cell>
          <cell r="AC4">
            <v>12.400411700882081</v>
          </cell>
          <cell r="AD4">
            <v>10.651206454161295</v>
          </cell>
          <cell r="AE4">
            <v>11.9702564771291</v>
          </cell>
          <cell r="AF4">
            <v>8.8196299945361165</v>
          </cell>
          <cell r="AG4">
            <v>24.944994206869264</v>
          </cell>
          <cell r="AH4">
            <v>9.954946476724281</v>
          </cell>
        </row>
        <row r="6">
          <cell r="C6">
            <v>88.116198683613888</v>
          </cell>
          <cell r="D6">
            <v>195.46819329878639</v>
          </cell>
          <cell r="E6">
            <v>159.06216861890516</v>
          </cell>
          <cell r="F6">
            <v>125.89364198128322</v>
          </cell>
          <cell r="G6">
            <v>117.17596595535974</v>
          </cell>
          <cell r="H6">
            <v>119.10385068942668</v>
          </cell>
          <cell r="I6">
            <v>141.02317076337411</v>
          </cell>
          <cell r="J6">
            <v>164.82294701098513</v>
          </cell>
          <cell r="L6">
            <v>170.68352030098202</v>
          </cell>
          <cell r="N6">
            <v>103.57192583448928</v>
          </cell>
          <cell r="O6">
            <v>109.56067226469477</v>
          </cell>
          <cell r="P6">
            <v>167.82262016911375</v>
          </cell>
          <cell r="R6">
            <v>149.45667466077705</v>
          </cell>
          <cell r="S6">
            <v>150.47085840845602</v>
          </cell>
          <cell r="T6">
            <v>178.13141522709813</v>
          </cell>
          <cell r="U6">
            <v>111.7312162196442</v>
          </cell>
          <cell r="V6">
            <v>290.18162624199562</v>
          </cell>
          <cell r="W6">
            <v>114.95760947842821</v>
          </cell>
          <cell r="Y6">
            <v>81.534216961642855</v>
          </cell>
          <cell r="AA6">
            <v>105.9723429358354</v>
          </cell>
          <cell r="AB6">
            <v>77.057136522059068</v>
          </cell>
          <cell r="AC6">
            <v>88.90204619532345</v>
          </cell>
          <cell r="AD6">
            <v>141.73522904801914</v>
          </cell>
          <cell r="AE6">
            <v>97.395568502144101</v>
          </cell>
          <cell r="AF6">
            <v>90.179413229048663</v>
          </cell>
          <cell r="AG6">
            <v>320.40880378616617</v>
          </cell>
          <cell r="AH6">
            <v>73.737170782041559</v>
          </cell>
        </row>
        <row r="7">
          <cell r="C7">
            <v>10.713194205511503</v>
          </cell>
          <cell r="D7">
            <v>29.46106820959232</v>
          </cell>
          <cell r="E7">
            <v>18.192512100137357</v>
          </cell>
          <cell r="F7">
            <v>10.992769441167935</v>
          </cell>
          <cell r="G7">
            <v>13.711520283573474</v>
          </cell>
          <cell r="H7">
            <v>16.509674485527654</v>
          </cell>
          <cell r="I7">
            <v>9.6571999021403716</v>
          </cell>
          <cell r="J7">
            <v>26.211479697206332</v>
          </cell>
          <cell r="L7">
            <v>20.524592146206992</v>
          </cell>
          <cell r="N7">
            <v>14.973334735904785</v>
          </cell>
          <cell r="O7">
            <v>20.073382367914633</v>
          </cell>
          <cell r="P7">
            <v>24.493427770118874</v>
          </cell>
          <cell r="R7">
            <v>26.089157157222193</v>
          </cell>
          <cell r="S7">
            <v>14.430843570272488</v>
          </cell>
          <cell r="T7">
            <v>12.302607466297035</v>
          </cell>
          <cell r="U7">
            <v>20.079067909022459</v>
          </cell>
          <cell r="V7">
            <v>41.421822003398688</v>
          </cell>
          <cell r="W7">
            <v>25.826086524275464</v>
          </cell>
          <cell r="Y7">
            <v>12.438291431600115</v>
          </cell>
          <cell r="AA7">
            <v>8.2816939343539158</v>
          </cell>
          <cell r="AB7">
            <v>8.3525879824244669</v>
          </cell>
          <cell r="AC7">
            <v>10.825317166260001</v>
          </cell>
          <cell r="AD7">
            <v>21.77496270340021</v>
          </cell>
          <cell r="AE7">
            <v>16.207259046989748</v>
          </cell>
          <cell r="AF7">
            <v>10.133275823491394</v>
          </cell>
          <cell r="AG7">
            <v>58.89705125358492</v>
          </cell>
          <cell r="AH7">
            <v>11.502847564489274</v>
          </cell>
        </row>
        <row r="8">
          <cell r="C8">
            <v>48.296216639536418</v>
          </cell>
          <cell r="D8">
            <v>70.686843873957855</v>
          </cell>
          <cell r="E8">
            <v>80.099037251939166</v>
          </cell>
          <cell r="F8">
            <v>71.194825550135462</v>
          </cell>
          <cell r="G8">
            <v>66.632706811726564</v>
          </cell>
          <cell r="H8">
            <v>93.632330171977756</v>
          </cell>
          <cell r="I8">
            <v>70.044082274772052</v>
          </cell>
          <cell r="J8">
            <v>71.101038319527731</v>
          </cell>
          <cell r="L8">
            <v>129.65058139515753</v>
          </cell>
          <cell r="N8">
            <v>63.246004872973934</v>
          </cell>
          <cell r="O8">
            <v>69.101446847847754</v>
          </cell>
          <cell r="P8">
            <v>167.89337075490954</v>
          </cell>
          <cell r="R8">
            <v>88.08724217802029</v>
          </cell>
          <cell r="S8">
            <v>92.730875676318746</v>
          </cell>
          <cell r="T8">
            <v>101.46793333348336</v>
          </cell>
          <cell r="U8">
            <v>79.073462762483814</v>
          </cell>
          <cell r="V8">
            <v>125.18552586698233</v>
          </cell>
          <cell r="W8">
            <v>93.006684941004465</v>
          </cell>
          <cell r="Y8">
            <v>57.090404085350862</v>
          </cell>
          <cell r="AA8">
            <v>63.668433509019827</v>
          </cell>
          <cell r="AB8">
            <v>48.518085307371187</v>
          </cell>
          <cell r="AC8">
            <v>55.111139748570359</v>
          </cell>
          <cell r="AD8">
            <v>68.590205926454502</v>
          </cell>
          <cell r="AE8">
            <v>63.910559459577748</v>
          </cell>
          <cell r="AF8">
            <v>55.63965510484644</v>
          </cell>
          <cell r="AG8">
            <v>126.7190303436534</v>
          </cell>
          <cell r="AH8">
            <v>50.89578864293037</v>
          </cell>
        </row>
        <row r="9">
          <cell r="C9">
            <v>39.477653796099503</v>
          </cell>
          <cell r="D9">
            <v>152.45767405925096</v>
          </cell>
          <cell r="E9">
            <v>96.978841526204903</v>
          </cell>
          <cell r="F9">
            <v>36.927266809549714</v>
          </cell>
          <cell r="G9">
            <v>47.027996458808708</v>
          </cell>
          <cell r="H9">
            <v>40.853113206827686</v>
          </cell>
          <cell r="I9">
            <v>14.460936601487301</v>
          </cell>
          <cell r="J9">
            <v>138.11792392907822</v>
          </cell>
          <cell r="L9">
            <v>43.549649534994572</v>
          </cell>
          <cell r="N9">
            <v>27.042542413600895</v>
          </cell>
          <cell r="O9">
            <v>31.770842932951091</v>
          </cell>
          <cell r="P9">
            <v>57.720366877516575</v>
          </cell>
          <cell r="R9">
            <v>65.081012515535974</v>
          </cell>
          <cell r="S9">
            <v>75.380828137508004</v>
          </cell>
          <cell r="T9">
            <v>63.498199427374765</v>
          </cell>
          <cell r="U9">
            <v>39.497659547845188</v>
          </cell>
          <cell r="V9">
            <v>273.37640655834861</v>
          </cell>
          <cell r="W9">
            <v>42.7097161867935</v>
          </cell>
          <cell r="Y9">
            <v>27.746407434699133</v>
          </cell>
          <cell r="AA9">
            <v>32.097542478939175</v>
          </cell>
          <cell r="AB9">
            <v>25.069304379394094</v>
          </cell>
          <cell r="AC9">
            <v>35.42769505670109</v>
          </cell>
          <cell r="AD9">
            <v>108.9484888849932</v>
          </cell>
          <cell r="AE9">
            <v>35.378814730314524</v>
          </cell>
          <cell r="AF9">
            <v>28.939352558624911</v>
          </cell>
          <cell r="AG9">
            <v>311.18386141904165</v>
          </cell>
          <cell r="AH9">
            <v>24.325202932209635</v>
          </cell>
        </row>
        <row r="10">
          <cell r="C10">
            <v>7.0990608628623342</v>
          </cell>
          <cell r="D10">
            <v>55.470528747134189</v>
          </cell>
          <cell r="E10">
            <v>25.638541483233688</v>
          </cell>
          <cell r="F10">
            <v>3.4771253921346119</v>
          </cell>
          <cell r="G10">
            <v>3.2443737866691853</v>
          </cell>
          <cell r="H10">
            <v>8.6048904648335682</v>
          </cell>
          <cell r="I10">
            <v>1.5769781365532529</v>
          </cell>
          <cell r="J10">
            <v>33.79530203476201</v>
          </cell>
          <cell r="L10">
            <v>10.527696678231168</v>
          </cell>
          <cell r="N10">
            <v>6.0565019033661356</v>
          </cell>
          <cell r="O10">
            <v>10.555626212833184</v>
          </cell>
          <cell r="P10">
            <v>8.2946808770666873</v>
          </cell>
          <cell r="R10">
            <v>31.376183190167467</v>
          </cell>
          <cell r="S10">
            <v>12.995681541005194</v>
          </cell>
          <cell r="T10">
            <v>6.668618959899419</v>
          </cell>
          <cell r="U10">
            <v>8.0867904597586691</v>
          </cell>
          <cell r="V10">
            <v>33.869482959838109</v>
          </cell>
          <cell r="W10">
            <v>6.1291119419393576</v>
          </cell>
          <cell r="Y10">
            <v>4.7127701469336376</v>
          </cell>
          <cell r="AA10">
            <v>1.9689723899382354</v>
          </cell>
          <cell r="AB10">
            <v>0.77708318531821041</v>
          </cell>
          <cell r="AC10">
            <v>4.7574148537564245</v>
          </cell>
          <cell r="AD10">
            <v>11.883451131707314</v>
          </cell>
          <cell r="AE10">
            <v>3.4054494348392308</v>
          </cell>
          <cell r="AF10">
            <v>0.17758752693460964</v>
          </cell>
          <cell r="AG10">
            <v>42.525381832408272</v>
          </cell>
          <cell r="AH10">
            <v>4.3363230018261261</v>
          </cell>
        </row>
        <row r="11">
          <cell r="C11">
            <v>5.468228776946237</v>
          </cell>
          <cell r="D11">
            <v>7.1042360528591733</v>
          </cell>
          <cell r="E11">
            <v>7.0648480268797753</v>
          </cell>
          <cell r="F11">
            <v>8.4350662216191683</v>
          </cell>
          <cell r="G11">
            <v>9.1385140000421465</v>
          </cell>
          <cell r="H11">
            <v>12.765145289665201</v>
          </cell>
          <cell r="I11">
            <v>8.2901057065017216</v>
          </cell>
          <cell r="J11">
            <v>4.7490123823347767</v>
          </cell>
          <cell r="L11">
            <v>15.855078225955033</v>
          </cell>
          <cell r="N11">
            <v>10.71497496615951</v>
          </cell>
          <cell r="O11">
            <v>15.824672338965769</v>
          </cell>
          <cell r="P11">
            <v>15.935015697878619</v>
          </cell>
          <cell r="R11">
            <v>29.348452556255999</v>
          </cell>
          <cell r="S11">
            <v>10.503586808562876</v>
          </cell>
          <cell r="T11">
            <v>11.771506484361392</v>
          </cell>
          <cell r="U11">
            <v>14.057866091554681</v>
          </cell>
          <cell r="V11">
            <v>12.405299345704009</v>
          </cell>
          <cell r="W11">
            <v>14.868430592510803</v>
          </cell>
          <cell r="Y11">
            <v>10.674668083961095</v>
          </cell>
          <cell r="AA11">
            <v>7.0884630299061016</v>
          </cell>
          <cell r="AB11">
            <v>7.5051370623154945</v>
          </cell>
          <cell r="AC11">
            <v>7.7523828743293333</v>
          </cell>
          <cell r="AD11">
            <v>6.8554672328329511</v>
          </cell>
          <cell r="AE11">
            <v>13.330873733081861</v>
          </cell>
          <cell r="AF11">
            <v>8.0017522438118824</v>
          </cell>
          <cell r="AG11">
            <v>17.31068996907706</v>
          </cell>
          <cell r="AH11">
            <v>10.148694641796974</v>
          </cell>
        </row>
        <row r="12">
          <cell r="C12">
            <v>4.9546685257776089</v>
          </cell>
          <cell r="D12">
            <v>5.371022235294082</v>
          </cell>
          <cell r="E12">
            <v>5.5374672744147109</v>
          </cell>
          <cell r="F12">
            <v>5.8482805849005484</v>
          </cell>
          <cell r="G12">
            <v>6.4276678238609266</v>
          </cell>
          <cell r="H12">
            <v>4.9812032094789975</v>
          </cell>
          <cell r="I12">
            <v>6.1351304549243189</v>
          </cell>
          <cell r="J12">
            <v>4.2377441223038623</v>
          </cell>
          <cell r="L12">
            <v>9.9935422280050243</v>
          </cell>
          <cell r="N12">
            <v>6.741965983719739</v>
          </cell>
          <cell r="O12">
            <v>11.721846493226838</v>
          </cell>
          <cell r="P12">
            <v>13.523374064795897</v>
          </cell>
          <cell r="R12">
            <v>20.655691840335692</v>
          </cell>
          <cell r="S12">
            <v>8.1236281569767392</v>
          </cell>
          <cell r="T12">
            <v>8.0951421748425254</v>
          </cell>
          <cell r="U12">
            <v>13.349610916436314</v>
          </cell>
          <cell r="V12">
            <v>10.759650211447648</v>
          </cell>
          <cell r="W12">
            <v>8.5086798860518869</v>
          </cell>
          <cell r="Y12">
            <v>5.4751470860252027</v>
          </cell>
          <cell r="AA12">
            <v>3.5813683407029631</v>
          </cell>
          <cell r="AB12">
            <v>2.7130183618825279</v>
          </cell>
          <cell r="AC12">
            <v>3.8989417770107644</v>
          </cell>
          <cell r="AD12">
            <v>3.7520965686632337</v>
          </cell>
          <cell r="AE12">
            <v>5.392787245997992</v>
          </cell>
          <cell r="AF12">
            <v>3.4517355522183255</v>
          </cell>
          <cell r="AG12">
            <v>14.477881656831283</v>
          </cell>
          <cell r="AH12">
            <v>5.5121436750684802</v>
          </cell>
        </row>
        <row r="13">
          <cell r="C13">
            <v>11.918767194071163</v>
          </cell>
          <cell r="D13">
            <v>13.507731504057606</v>
          </cell>
          <cell r="E13">
            <v>12.024408169880839</v>
          </cell>
          <cell r="F13">
            <v>15.59381762441763</v>
          </cell>
          <cell r="G13">
            <v>13.773280539394525</v>
          </cell>
          <cell r="H13">
            <v>14.524186192631584</v>
          </cell>
          <cell r="I13">
            <v>14.384704670555355</v>
          </cell>
          <cell r="J13">
            <v>7.4573484382956536</v>
          </cell>
          <cell r="L13">
            <v>22.097236033200375</v>
          </cell>
          <cell r="N13">
            <v>12.675186098445861</v>
          </cell>
          <cell r="O13">
            <v>20.519932051882289</v>
          </cell>
          <cell r="P13">
            <v>23.312361501290084</v>
          </cell>
          <cell r="R13">
            <v>26.727220412950317</v>
          </cell>
          <cell r="S13">
            <v>11.038753475715602</v>
          </cell>
          <cell r="T13">
            <v>18.160268227882653</v>
          </cell>
          <cell r="U13">
            <v>12.972926500803435</v>
          </cell>
          <cell r="V13">
            <v>13.906345745794216</v>
          </cell>
          <cell r="W13">
            <v>23.8431525627269</v>
          </cell>
          <cell r="Y13">
            <v>16.000581706983919</v>
          </cell>
          <cell r="AA13">
            <v>11.945335370888174</v>
          </cell>
          <cell r="AB13">
            <v>10.898896647359626</v>
          </cell>
          <cell r="AC13">
            <v>12.799470791677861</v>
          </cell>
          <cell r="AD13">
            <v>11.268760046948435</v>
          </cell>
          <cell r="AE13">
            <v>15.141058690487261</v>
          </cell>
          <cell r="AF13">
            <v>13.096403130071328</v>
          </cell>
          <cell r="AG13">
            <v>17.464859692210386</v>
          </cell>
          <cell r="AH13">
            <v>11.466624805906061</v>
          </cell>
        </row>
        <row r="14">
          <cell r="C14">
            <v>6.3534765003218965</v>
          </cell>
          <cell r="D14">
            <v>6.2116350455217297</v>
          </cell>
          <cell r="E14">
            <v>5.8555987113403276</v>
          </cell>
          <cell r="F14">
            <v>10.974650244291809</v>
          </cell>
          <cell r="G14">
            <v>8.4032733249735081</v>
          </cell>
          <cell r="H14">
            <v>21.4677548477082</v>
          </cell>
          <cell r="I14">
            <v>5.4059169030645631</v>
          </cell>
          <cell r="J14">
            <v>33.280974356323114</v>
          </cell>
          <cell r="L14">
            <v>25.90794621541194</v>
          </cell>
          <cell r="N14">
            <v>12.819332799547679</v>
          </cell>
          <cell r="O14">
            <v>17.28526110263946</v>
          </cell>
          <cell r="P14">
            <v>17.710186624656231</v>
          </cell>
          <cell r="R14">
            <v>29.316899728996571</v>
          </cell>
          <cell r="S14">
            <v>14.943992549885044</v>
          </cell>
          <cell r="T14">
            <v>8.8138708264447025</v>
          </cell>
          <cell r="U14">
            <v>15.80036755636287</v>
          </cell>
          <cell r="V14">
            <v>13.931418472788867</v>
          </cell>
          <cell r="W14">
            <v>15.812391094735512</v>
          </cell>
          <cell r="Y14">
            <v>6.9642824026531809</v>
          </cell>
          <cell r="AA14">
            <v>7.0550653800199674</v>
          </cell>
          <cell r="AB14">
            <v>6.1621961786431001</v>
          </cell>
          <cell r="AC14">
            <v>7.7216562248710146</v>
          </cell>
          <cell r="AD14">
            <v>8.009507402955208</v>
          </cell>
          <cell r="AE14">
            <v>9.4812157214847073</v>
          </cell>
          <cell r="AF14">
            <v>5.7155483491956973</v>
          </cell>
          <cell r="AG14">
            <v>17.264069187636398</v>
          </cell>
          <cell r="AH14">
            <v>7.4342620532938746</v>
          </cell>
        </row>
        <row r="15">
          <cell r="C15">
            <v>13.851702321242859</v>
          </cell>
          <cell r="D15">
            <v>11.734094279524504</v>
          </cell>
          <cell r="E15">
            <v>12.388517271357857</v>
          </cell>
          <cell r="F15">
            <v>17.351873281873182</v>
          </cell>
          <cell r="G15">
            <v>13.976918851697627</v>
          </cell>
          <cell r="H15">
            <v>13.567330400825876</v>
          </cell>
          <cell r="I15">
            <v>11.182472816893631</v>
          </cell>
          <cell r="J15">
            <v>7.9704197692798413</v>
          </cell>
          <cell r="L15">
            <v>33.383463208374806</v>
          </cell>
          <cell r="N15">
            <v>14.243995998512915</v>
          </cell>
          <cell r="O15">
            <v>23.19477337222385</v>
          </cell>
          <cell r="P15">
            <v>24.421730743067126</v>
          </cell>
          <cell r="R15">
            <v>41.113436606796185</v>
          </cell>
          <cell r="S15">
            <v>19.37892495045838</v>
          </cell>
          <cell r="T15">
            <v>22.40620151174231</v>
          </cell>
          <cell r="U15">
            <v>26.167594000744838</v>
          </cell>
          <cell r="V15">
            <v>18.760387682566911</v>
          </cell>
          <cell r="W15">
            <v>24.635663481547578</v>
          </cell>
          <cell r="Y15">
            <v>19.569862746966628</v>
          </cell>
          <cell r="AA15">
            <v>15.70557096628848</v>
          </cell>
          <cell r="AB15">
            <v>11.79444602779202</v>
          </cell>
          <cell r="AC15">
            <v>12.983085039823864</v>
          </cell>
          <cell r="AD15">
            <v>11.070747381409012</v>
          </cell>
          <cell r="AE15">
            <v>20.025333582870225</v>
          </cell>
          <cell r="AF15">
            <v>12.89303939742682</v>
          </cell>
          <cell r="AG15">
            <v>23.926893620877632</v>
          </cell>
          <cell r="AH15">
            <v>19.064023132375006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Y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C17">
            <v>20.524811737640736</v>
          </cell>
          <cell r="D17">
            <v>23.029903128970339</v>
          </cell>
          <cell r="E17">
            <v>20.486242514466774</v>
          </cell>
          <cell r="F17">
            <v>27.798457061562139</v>
          </cell>
          <cell r="G17">
            <v>25.197863456102663</v>
          </cell>
          <cell r="H17">
            <v>24.996276946712854</v>
          </cell>
          <cell r="I17">
            <v>13.143629386567339</v>
          </cell>
          <cell r="J17">
            <v>12.426945932761154</v>
          </cell>
          <cell r="L17">
            <v>38.142048013572008</v>
          </cell>
          <cell r="N17">
            <v>21.677813431571398</v>
          </cell>
          <cell r="O17">
            <v>28.05512954047849</v>
          </cell>
          <cell r="P17">
            <v>34.805703151890455</v>
          </cell>
          <cell r="R17">
            <v>34.736991190706185</v>
          </cell>
          <cell r="S17">
            <v>26.677154405651027</v>
          </cell>
          <cell r="T17">
            <v>27.196989206909418</v>
          </cell>
          <cell r="U17">
            <v>28.036236909940609</v>
          </cell>
          <cell r="V17">
            <v>23.036938430932523</v>
          </cell>
          <cell r="W17">
            <v>32.010841759444908</v>
          </cell>
          <cell r="Y17">
            <v>21.500499964936697</v>
          </cell>
          <cell r="AA17">
            <v>20.709775748487843</v>
          </cell>
          <cell r="AB17">
            <v>19.949238172079404</v>
          </cell>
          <cell r="AC17">
            <v>23.346941972441119</v>
          </cell>
          <cell r="AD17">
            <v>19.168579892091628</v>
          </cell>
          <cell r="AE17">
            <v>30.984157299882408</v>
          </cell>
          <cell r="AF17">
            <v>22.20387506017072</v>
          </cell>
          <cell r="AG17">
            <v>27.825759597272558</v>
          </cell>
          <cell r="AH17">
            <v>17.531493507233254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Y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26">
          <cell r="C26">
            <v>200.24522725687464</v>
          </cell>
          <cell r="E26">
            <v>309.30790935052858</v>
          </cell>
          <cell r="F26">
            <v>307.56027100553223</v>
          </cell>
          <cell r="G26">
            <v>328.43334964461559</v>
          </cell>
          <cell r="H26">
            <v>221.13798542987314</v>
          </cell>
          <cell r="I26">
            <v>295.30929468732734</v>
          </cell>
          <cell r="J26">
            <v>249.17544721744412</v>
          </cell>
          <cell r="K26">
            <v>219.42680663415885</v>
          </cell>
          <cell r="L26">
            <v>172.21857820610128</v>
          </cell>
          <cell r="N26">
            <v>202.8099310701904</v>
          </cell>
          <cell r="O26">
            <v>442.64442068777532</v>
          </cell>
          <cell r="P26">
            <v>221.45063726263254</v>
          </cell>
          <cell r="Q26">
            <v>229.35801654357994</v>
          </cell>
          <cell r="R26">
            <v>265.97337420998065</v>
          </cell>
          <cell r="S26">
            <v>347.64804475415025</v>
          </cell>
          <cell r="T26">
            <v>207.86826564859092</v>
          </cell>
          <cell r="U26">
            <v>202.08625832575652</v>
          </cell>
          <cell r="V26">
            <v>226.09799211035215</v>
          </cell>
          <cell r="W26">
            <v>172.83848516753983</v>
          </cell>
          <cell r="Y26">
            <v>190.83445715291455</v>
          </cell>
          <cell r="Z26">
            <v>248.2955059179894</v>
          </cell>
          <cell r="AA26">
            <v>216.6878344702333</v>
          </cell>
          <cell r="AB26">
            <v>291.77988533789721</v>
          </cell>
          <cell r="AD26">
            <v>287.38842509255431</v>
          </cell>
          <cell r="AE26">
            <v>243.77678602481788</v>
          </cell>
          <cell r="AF26">
            <v>298.55752528542109</v>
          </cell>
          <cell r="AG26">
            <v>230.96850248780657</v>
          </cell>
          <cell r="AH26">
            <v>208.5089784190601</v>
          </cell>
        </row>
        <row r="27">
          <cell r="C27">
            <v>3110.615298458265</v>
          </cell>
          <cell r="E27">
            <v>3726.421692107529</v>
          </cell>
          <cell r="F27">
            <v>3865.2722583070868</v>
          </cell>
          <cell r="G27">
            <v>4072.4301936339275</v>
          </cell>
          <cell r="H27">
            <v>2665.0111248706512</v>
          </cell>
          <cell r="I27">
            <v>3902.6759456965401</v>
          </cell>
          <cell r="J27">
            <v>3577.2800501112602</v>
          </cell>
          <cell r="K27">
            <v>3476.7595605008346</v>
          </cell>
          <cell r="L27">
            <v>2603.3167954870655</v>
          </cell>
          <cell r="N27">
            <v>2482.6963631899639</v>
          </cell>
          <cell r="O27">
            <v>3961.4649780943664</v>
          </cell>
          <cell r="P27">
            <v>1969.4844520929967</v>
          </cell>
          <cell r="Q27">
            <v>3443.6258448830113</v>
          </cell>
          <cell r="R27">
            <v>2720.984933578824</v>
          </cell>
          <cell r="S27">
            <v>3762.2717573004866</v>
          </cell>
          <cell r="T27">
            <v>2732.1995456171076</v>
          </cell>
          <cell r="U27">
            <v>3057.4680512703362</v>
          </cell>
          <cell r="V27">
            <v>2495.092476730862</v>
          </cell>
          <cell r="W27">
            <v>2144.1868176598464</v>
          </cell>
          <cell r="Y27">
            <v>2665.1721703813232</v>
          </cell>
          <cell r="Z27">
            <v>3119.3212868109899</v>
          </cell>
          <cell r="AA27">
            <v>2993.1053076882567</v>
          </cell>
          <cell r="AB27">
            <v>3247.3280878631817</v>
          </cell>
          <cell r="AD27">
            <v>3485.465961156026</v>
          </cell>
          <cell r="AE27">
            <v>2928.2935501941383</v>
          </cell>
          <cell r="AF27">
            <v>4505.8806731958821</v>
          </cell>
          <cell r="AG27">
            <v>3070.8219422286393</v>
          </cell>
          <cell r="AH27">
            <v>2962.6182217066175</v>
          </cell>
        </row>
        <row r="28">
          <cell r="C28">
            <v>685.02518204759122</v>
          </cell>
          <cell r="E28">
            <v>966.18255683148459</v>
          </cell>
          <cell r="F28">
            <v>797.09482845831337</v>
          </cell>
          <cell r="G28">
            <v>1072.1450080485961</v>
          </cell>
          <cell r="H28">
            <v>547.60073946854573</v>
          </cell>
          <cell r="I28">
            <v>943.91162101783209</v>
          </cell>
          <cell r="J28">
            <v>743.96164380946618</v>
          </cell>
          <cell r="K28">
            <v>754.81524984902728</v>
          </cell>
          <cell r="L28">
            <v>608.52373365119411</v>
          </cell>
          <cell r="N28">
            <v>623.1118946940436</v>
          </cell>
          <cell r="O28">
            <v>975.60312790749754</v>
          </cell>
          <cell r="P28">
            <v>829.98190454322173</v>
          </cell>
          <cell r="Q28">
            <v>836.44324718967971</v>
          </cell>
          <cell r="R28">
            <v>708.15561355948466</v>
          </cell>
          <cell r="S28">
            <v>860.71392628300714</v>
          </cell>
          <cell r="T28">
            <v>875.10195062688467</v>
          </cell>
          <cell r="U28">
            <v>730.98525431886605</v>
          </cell>
          <cell r="V28">
            <v>685.86224397464639</v>
          </cell>
          <cell r="W28">
            <v>698.64399727937337</v>
          </cell>
          <cell r="Y28">
            <v>661.02624513015655</v>
          </cell>
          <cell r="Z28">
            <v>811.08495345374706</v>
          </cell>
          <cell r="AA28">
            <v>744.61067388523531</v>
          </cell>
          <cell r="AB28">
            <v>757.63085474206491</v>
          </cell>
          <cell r="AD28">
            <v>822.48501771888243</v>
          </cell>
          <cell r="AE28">
            <v>947.04821828211891</v>
          </cell>
          <cell r="AF28">
            <v>1139.9782873074332</v>
          </cell>
          <cell r="AG28">
            <v>752.02897094111086</v>
          </cell>
          <cell r="AH28">
            <v>710.61340725099024</v>
          </cell>
        </row>
        <row r="30">
          <cell r="C30">
            <v>467.47125971229042</v>
          </cell>
          <cell r="E30">
            <v>585.20970730221609</v>
          </cell>
          <cell r="F30">
            <v>683.547896083615</v>
          </cell>
          <cell r="G30">
            <v>583.62622494682216</v>
          </cell>
          <cell r="H30">
            <v>475.97407676497306</v>
          </cell>
          <cell r="I30">
            <v>594.6213957688542</v>
          </cell>
          <cell r="J30">
            <v>617.60549340601744</v>
          </cell>
          <cell r="K30">
            <v>572.53486950094646</v>
          </cell>
          <cell r="L30">
            <v>428.09841550408635</v>
          </cell>
          <cell r="N30">
            <v>405.45026346598689</v>
          </cell>
          <cell r="O30">
            <v>1086.8121040239682</v>
          </cell>
          <cell r="P30">
            <v>428.97534423637239</v>
          </cell>
          <cell r="Q30">
            <v>616.35271697941869</v>
          </cell>
          <cell r="R30">
            <v>506.89568788892171</v>
          </cell>
          <cell r="S30">
            <v>685.55543585362466</v>
          </cell>
          <cell r="T30">
            <v>441.91713737841536</v>
          </cell>
          <cell r="U30">
            <v>531.7923215028942</v>
          </cell>
          <cell r="V30">
            <v>477.13650272529588</v>
          </cell>
          <cell r="W30">
            <v>332.48698137882036</v>
          </cell>
          <cell r="Y30">
            <v>438.06860620113633</v>
          </cell>
          <cell r="Z30">
            <v>515.13410575805267</v>
          </cell>
          <cell r="AA30">
            <v>458.75316065507548</v>
          </cell>
          <cell r="AB30">
            <v>564.83010304402615</v>
          </cell>
          <cell r="AD30">
            <v>775.88746838208999</v>
          </cell>
          <cell r="AE30">
            <v>572.47532630847763</v>
          </cell>
          <cell r="AF30">
            <v>755.82396756252422</v>
          </cell>
          <cell r="AG30">
            <v>586.24423884178748</v>
          </cell>
          <cell r="AH30">
            <v>538.20335747568288</v>
          </cell>
        </row>
        <row r="31">
          <cell r="C31">
            <v>5209.8940785576278</v>
          </cell>
          <cell r="E31">
            <v>6846.6965443531371</v>
          </cell>
          <cell r="F31">
            <v>6424.1146951582041</v>
          </cell>
          <cell r="G31">
            <v>7015.2012310917653</v>
          </cell>
          <cell r="H31">
            <v>3763.35749653934</v>
          </cell>
          <cell r="I31">
            <v>7039.1866337341125</v>
          </cell>
          <cell r="J31">
            <v>6688.7310227678208</v>
          </cell>
          <cell r="K31">
            <v>7043.7677336750758</v>
          </cell>
          <cell r="L31">
            <v>4260.9459457669154</v>
          </cell>
          <cell r="N31">
            <v>3260.8035529837871</v>
          </cell>
          <cell r="O31">
            <v>4201.4123441484044</v>
          </cell>
          <cell r="P31">
            <v>2982.1227721060395</v>
          </cell>
          <cell r="Q31">
            <v>6059.449827702223</v>
          </cell>
          <cell r="R31">
            <v>3548.3039275360557</v>
          </cell>
          <cell r="S31">
            <v>5151.7554492326763</v>
          </cell>
          <cell r="T31">
            <v>4188.9417441908117</v>
          </cell>
          <cell r="U31">
            <v>4728.2860513194155</v>
          </cell>
          <cell r="V31">
            <v>4112.5157457172136</v>
          </cell>
          <cell r="W31">
            <v>3563.4340098419798</v>
          </cell>
          <cell r="Y31">
            <v>3442.2975158326426</v>
          </cell>
          <cell r="Z31">
            <v>4402.8385316925223</v>
          </cell>
          <cell r="AA31">
            <v>3980.5295261514834</v>
          </cell>
          <cell r="AB31">
            <v>4807.1731183742559</v>
          </cell>
          <cell r="AD31">
            <v>4893.7094573134082</v>
          </cell>
          <cell r="AE31">
            <v>4733.3810296806241</v>
          </cell>
          <cell r="AF31">
            <v>6900.6383699266707</v>
          </cell>
          <cell r="AG31">
            <v>3878.6509133500958</v>
          </cell>
          <cell r="AH31">
            <v>3805.8515343447025</v>
          </cell>
        </row>
        <row r="32">
          <cell r="C32">
            <v>2530.0377495225384</v>
          </cell>
          <cell r="E32">
            <v>3777.7666747560188</v>
          </cell>
          <cell r="F32">
            <v>3371.7684522211484</v>
          </cell>
          <cell r="G32">
            <v>3394.0512390260451</v>
          </cell>
          <cell r="H32">
            <v>1988.6431460163274</v>
          </cell>
          <cell r="I32">
            <v>3529.7473808954578</v>
          </cell>
          <cell r="J32">
            <v>3187.463371714703</v>
          </cell>
          <cell r="K32">
            <v>3188.2707667667382</v>
          </cell>
          <cell r="L32">
            <v>2104.12674067118</v>
          </cell>
          <cell r="N32">
            <v>1711.6862339160148</v>
          </cell>
          <cell r="O32">
            <v>2407.3074673918604</v>
          </cell>
          <cell r="P32">
            <v>1815.1359645589459</v>
          </cell>
          <cell r="Q32">
            <v>3233.7630283845219</v>
          </cell>
          <cell r="R32">
            <v>1936.3098550601255</v>
          </cell>
          <cell r="S32">
            <v>2756.7554333986559</v>
          </cell>
          <cell r="T32">
            <v>2426.9162955014604</v>
          </cell>
          <cell r="U32">
            <v>2447.5889261525208</v>
          </cell>
          <cell r="V32">
            <v>2334.7922928411099</v>
          </cell>
          <cell r="W32">
            <v>2114.6381014558278</v>
          </cell>
          <cell r="Y32">
            <v>1883.2127611766946</v>
          </cell>
          <cell r="Z32">
            <v>2457.1247808358835</v>
          </cell>
          <cell r="AA32">
            <v>2260.865223693675</v>
          </cell>
          <cell r="AB32">
            <v>2679.067390581984</v>
          </cell>
          <cell r="AD32">
            <v>2820.0900127800783</v>
          </cell>
          <cell r="AE32">
            <v>2727.7135773577429</v>
          </cell>
          <cell r="AF32">
            <v>3692.9085464246455</v>
          </cell>
          <cell r="AG32">
            <v>2119.7982932781024</v>
          </cell>
          <cell r="AH32">
            <v>2199.4913874476019</v>
          </cell>
        </row>
        <row r="33">
          <cell r="C33">
            <v>16.71356995725327</v>
          </cell>
          <cell r="E33">
            <v>24.345099195301014</v>
          </cell>
          <cell r="F33">
            <v>12.593883113931874</v>
          </cell>
          <cell r="G33">
            <v>24.602215411821955</v>
          </cell>
          <cell r="H33">
            <v>12.022466175843798</v>
          </cell>
          <cell r="I33">
            <v>20.761287995489674</v>
          </cell>
          <cell r="J33">
            <v>16.807317750228822</v>
          </cell>
          <cell r="K33">
            <v>17.773249905278064</v>
          </cell>
          <cell r="L33">
            <v>9.8415024767144068</v>
          </cell>
          <cell r="N33">
            <v>9.7786322477063017</v>
          </cell>
          <cell r="O33">
            <v>13.608909574736591</v>
          </cell>
          <cell r="P33">
            <v>8.8082990363147484</v>
          </cell>
          <cell r="Q33">
            <v>11.720493643466511</v>
          </cell>
          <cell r="R33">
            <v>9.3115479819821534</v>
          </cell>
          <cell r="S33">
            <v>16.023223386044457</v>
          </cell>
          <cell r="T33">
            <v>6.7180589741409218</v>
          </cell>
          <cell r="U33">
            <v>7.2401946758224565</v>
          </cell>
          <cell r="V33">
            <v>8.4332687098817338</v>
          </cell>
          <cell r="W33">
            <v>5.4461234613495613</v>
          </cell>
          <cell r="Y33">
            <v>9.1380333150436979</v>
          </cell>
          <cell r="Z33">
            <v>18.044656128430329</v>
          </cell>
          <cell r="AA33">
            <v>7.635709053461758</v>
          </cell>
          <cell r="AB33">
            <v>13.942040035855488</v>
          </cell>
          <cell r="AD33">
            <v>9.2662589245500051</v>
          </cell>
          <cell r="AE33">
            <v>11.187765731710083</v>
          </cell>
          <cell r="AF33">
            <v>13.374840561251709</v>
          </cell>
          <cell r="AG33">
            <v>17.754454354508432</v>
          </cell>
          <cell r="AH33">
            <v>7.5147991507706227</v>
          </cell>
        </row>
        <row r="34">
          <cell r="C34">
            <v>130.88722080094749</v>
          </cell>
          <cell r="E34">
            <v>194.22147172209606</v>
          </cell>
          <cell r="F34">
            <v>198.6179497956355</v>
          </cell>
          <cell r="G34">
            <v>206.49009483541138</v>
          </cell>
          <cell r="H34">
            <v>114.18636849203233</v>
          </cell>
          <cell r="I34">
            <v>188.79621200442327</v>
          </cell>
          <cell r="J34">
            <v>185.46657727455062</v>
          </cell>
          <cell r="K34">
            <v>155.57441389713239</v>
          </cell>
          <cell r="L34">
            <v>104.87048660936705</v>
          </cell>
          <cell r="N34">
            <v>99.694962580352268</v>
          </cell>
          <cell r="O34">
            <v>137.00056716710077</v>
          </cell>
          <cell r="P34">
            <v>103.45745414172079</v>
          </cell>
          <cell r="Q34">
            <v>148.50858257912944</v>
          </cell>
          <cell r="R34">
            <v>122.03699428804239</v>
          </cell>
          <cell r="S34">
            <v>171.69487278218986</v>
          </cell>
          <cell r="T34">
            <v>156.44973365537871</v>
          </cell>
          <cell r="U34">
            <v>123.07976074630551</v>
          </cell>
          <cell r="V34">
            <v>128.97554043583551</v>
          </cell>
          <cell r="W34">
            <v>127.30563612503829</v>
          </cell>
          <cell r="Y34">
            <v>113.61771033940039</v>
          </cell>
          <cell r="Z34">
            <v>145.64945649778241</v>
          </cell>
          <cell r="AA34">
            <v>134.04077522920358</v>
          </cell>
          <cell r="AB34">
            <v>142.73389081543425</v>
          </cell>
          <cell r="AD34">
            <v>168.58755194640742</v>
          </cell>
          <cell r="AE34">
            <v>146.60583418928027</v>
          </cell>
          <cell r="AF34">
            <v>210.64221268605965</v>
          </cell>
          <cell r="AG34">
            <v>121.44658045922941</v>
          </cell>
          <cell r="AH34">
            <v>132.63749773009613</v>
          </cell>
        </row>
        <row r="35">
          <cell r="C35">
            <v>7.5764600806462328</v>
          </cell>
          <cell r="E35">
            <v>9.5914834444013408</v>
          </cell>
          <cell r="F35">
            <v>6.4781872949591452</v>
          </cell>
          <cell r="G35">
            <v>13.007105711704423</v>
          </cell>
          <cell r="H35">
            <v>5.7194675542600448</v>
          </cell>
          <cell r="I35">
            <v>5.7407579882670126</v>
          </cell>
          <cell r="J35">
            <v>7.3676560882746518</v>
          </cell>
          <cell r="K35">
            <v>8.3021667420958511</v>
          </cell>
          <cell r="L35">
            <v>5.7476207281734117</v>
          </cell>
          <cell r="N35">
            <v>5.7592899214118516</v>
          </cell>
          <cell r="O35">
            <v>11.6155236260586</v>
          </cell>
          <cell r="P35">
            <v>5.5914949039020012</v>
          </cell>
          <cell r="Q35">
            <v>10.143440489294477</v>
          </cell>
          <cell r="R35">
            <v>3.1810710454507438</v>
          </cell>
          <cell r="S35">
            <v>9.3650572550947029</v>
          </cell>
          <cell r="T35">
            <v>9.2524452569406979</v>
          </cell>
          <cell r="U35">
            <v>5.6838915198545967</v>
          </cell>
          <cell r="V35">
            <v>4.519606869570314</v>
          </cell>
          <cell r="W35">
            <v>4.3857525300424243</v>
          </cell>
          <cell r="Y35">
            <v>3.9053076427410898</v>
          </cell>
          <cell r="Z35">
            <v>9.746425592881943</v>
          </cell>
          <cell r="AA35">
            <v>3.897493768267053</v>
          </cell>
          <cell r="AB35">
            <v>6.3132589923107005</v>
          </cell>
          <cell r="AD35">
            <v>3.4739759223564297</v>
          </cell>
          <cell r="AE35">
            <v>4.2089826314266139</v>
          </cell>
          <cell r="AF35">
            <v>7.7750282320103841</v>
          </cell>
          <cell r="AG35">
            <v>8.5950740881283583</v>
          </cell>
          <cell r="AH35">
            <v>3.2648329504128113</v>
          </cell>
        </row>
        <row r="36">
          <cell r="C36">
            <v>95.156393470132045</v>
          </cell>
          <cell r="E36">
            <v>112.59255650147942</v>
          </cell>
          <cell r="F36">
            <v>116.14756788742918</v>
          </cell>
          <cell r="G36">
            <v>159.95131738705587</v>
          </cell>
          <cell r="H36">
            <v>68.412276717785744</v>
          </cell>
          <cell r="I36">
            <v>124.41165003339712</v>
          </cell>
          <cell r="J36">
            <v>104.57579674730461</v>
          </cell>
          <cell r="K36">
            <v>108.8116283754225</v>
          </cell>
          <cell r="L36">
            <v>71.012281982313809</v>
          </cell>
          <cell r="N36">
            <v>46.313574329904959</v>
          </cell>
          <cell r="O36">
            <v>125.34426310215407</v>
          </cell>
          <cell r="P36">
            <v>101.97652762591716</v>
          </cell>
          <cell r="Q36">
            <v>79.061273385499206</v>
          </cell>
          <cell r="R36">
            <v>71.623243243965874</v>
          </cell>
          <cell r="S36">
            <v>74.639305993085145</v>
          </cell>
          <cell r="T36">
            <v>104.71838971088181</v>
          </cell>
          <cell r="U36">
            <v>109.54952908932452</v>
          </cell>
          <cell r="V36">
            <v>68.792263798616261</v>
          </cell>
          <cell r="W36">
            <v>63.035980809546864</v>
          </cell>
          <cell r="Y36">
            <v>44.568503005332516</v>
          </cell>
          <cell r="Z36">
            <v>67.488939318128743</v>
          </cell>
          <cell r="AA36">
            <v>59.983734278330807</v>
          </cell>
          <cell r="AB36">
            <v>102.16251232176698</v>
          </cell>
          <cell r="AD36">
            <v>74.992644638223027</v>
          </cell>
          <cell r="AE36">
            <v>75.76978951962225</v>
          </cell>
          <cell r="AF36">
            <v>112.76554584992596</v>
          </cell>
          <cell r="AG36">
            <v>61.567530899700166</v>
          </cell>
          <cell r="AH36">
            <v>55.299239367878442</v>
          </cell>
        </row>
        <row r="37">
          <cell r="C37">
            <v>10.549082819891472</v>
          </cell>
          <cell r="E37">
            <v>22.242718444689633</v>
          </cell>
          <cell r="F37">
            <v>10.493618262941018</v>
          </cell>
          <cell r="G37">
            <v>11.768324546213286</v>
          </cell>
          <cell r="H37">
            <v>13.371178901463189</v>
          </cell>
          <cell r="I37">
            <v>14.913778847667135</v>
          </cell>
          <cell r="J37">
            <v>9.3788070776750114</v>
          </cell>
          <cell r="K37">
            <v>13.35214092946387</v>
          </cell>
          <cell r="L37">
            <v>12.596731686035842</v>
          </cell>
          <cell r="N37">
            <v>14.329106255632697</v>
          </cell>
          <cell r="O37">
            <v>21.005462834131695</v>
          </cell>
          <cell r="P37">
            <v>12.349150868747417</v>
          </cell>
          <cell r="Q37">
            <v>13.170357158654493</v>
          </cell>
          <cell r="R37">
            <v>11.953681360402099</v>
          </cell>
          <cell r="S37">
            <v>25.846868520729846</v>
          </cell>
          <cell r="T37">
            <v>7.2397474335978291</v>
          </cell>
          <cell r="U37">
            <v>8.3490529038481007</v>
          </cell>
          <cell r="V37">
            <v>12.921833434540808</v>
          </cell>
          <cell r="W37">
            <v>6.8181644446304857</v>
          </cell>
          <cell r="Y37">
            <v>11.623563922225607</v>
          </cell>
          <cell r="Z37">
            <v>21.891186867800979</v>
          </cell>
          <cell r="AA37">
            <v>10.090631982262453</v>
          </cell>
          <cell r="AB37">
            <v>20.321344132148383</v>
          </cell>
          <cell r="AD37">
            <v>6.1799987009594535</v>
          </cell>
          <cell r="AE37">
            <v>8.1724478556408719</v>
          </cell>
          <cell r="AF37">
            <v>14.769411784040578</v>
          </cell>
          <cell r="AG37">
            <v>18.468447783725402</v>
          </cell>
          <cell r="AH37">
            <v>12.921278061746809</v>
          </cell>
        </row>
        <row r="38"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C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C40">
            <v>24.529571212690481</v>
          </cell>
          <cell r="E40">
            <v>26.371484411880139</v>
          </cell>
          <cell r="F40">
            <v>23.39452608890543</v>
          </cell>
          <cell r="G40">
            <v>40.003468582108049</v>
          </cell>
          <cell r="H40">
            <v>25.552883414354515</v>
          </cell>
          <cell r="I40">
            <v>28.45144242167262</v>
          </cell>
          <cell r="J40">
            <v>21.024293810459426</v>
          </cell>
          <cell r="K40">
            <v>24.596547697195803</v>
          </cell>
          <cell r="L40">
            <v>17.660465264796674</v>
          </cell>
          <cell r="N40">
            <v>19.821454300227803</v>
          </cell>
          <cell r="O40">
            <v>43.662682190155863</v>
          </cell>
          <cell r="P40">
            <v>28.22976852979782</v>
          </cell>
          <cell r="Q40">
            <v>27.794111934073932</v>
          </cell>
          <cell r="R40">
            <v>34.215687468826133</v>
          </cell>
          <cell r="S40">
            <v>30.328100054355001</v>
          </cell>
          <cell r="T40">
            <v>36.429943722459228</v>
          </cell>
          <cell r="U40">
            <v>29.506366028099347</v>
          </cell>
          <cell r="V40">
            <v>27.395741005910445</v>
          </cell>
          <cell r="W40">
            <v>27.830472942847983</v>
          </cell>
          <cell r="Y40">
            <v>19.187746877157434</v>
          </cell>
          <cell r="Z40">
            <v>37.334394544598531</v>
          </cell>
          <cell r="AA40">
            <v>31.379842400630167</v>
          </cell>
          <cell r="AB40">
            <v>29.959059447580884</v>
          </cell>
          <cell r="AD40">
            <v>27.671993802416083</v>
          </cell>
          <cell r="AE40">
            <v>27.526621924737025</v>
          </cell>
          <cell r="AF40">
            <v>38.88926951030281</v>
          </cell>
          <cell r="AG40">
            <v>33.443675829639169</v>
          </cell>
          <cell r="AH40">
            <v>27.322041894566993</v>
          </cell>
        </row>
        <row r="48">
          <cell r="C48">
            <v>15715.007306081514</v>
          </cell>
          <cell r="D48">
            <v>20041.788429548553</v>
          </cell>
          <cell r="E48">
            <v>23918.008716041182</v>
          </cell>
          <cell r="F48">
            <v>18835.68329858789</v>
          </cell>
          <cell r="G48">
            <v>22812.291516022084</v>
          </cell>
          <cell r="H48">
            <v>23478.333467223598</v>
          </cell>
          <cell r="I48">
            <v>21244.677971303747</v>
          </cell>
          <cell r="J48">
            <v>17457.41299518384</v>
          </cell>
          <cell r="K48">
            <v>14924.090009730164</v>
          </cell>
          <cell r="L48">
            <v>18834.407885642369</v>
          </cell>
          <cell r="N48">
            <v>22704.522531930477</v>
          </cell>
          <cell r="O48">
            <v>30228.622033891443</v>
          </cell>
          <cell r="P48">
            <v>26080.327922864097</v>
          </cell>
          <cell r="Q48">
            <v>25381.240714748172</v>
          </cell>
          <cell r="R48">
            <v>22640.367962195643</v>
          </cell>
          <cell r="S48">
            <v>34102.579672445441</v>
          </cell>
          <cell r="T48">
            <v>17928.567537957104</v>
          </cell>
          <cell r="U48">
            <v>17243.481782492556</v>
          </cell>
          <cell r="V48">
            <v>22260.318488908284</v>
          </cell>
          <cell r="W48">
            <v>17580.92844841483</v>
          </cell>
          <cell r="Y48">
            <v>20959.00946706839</v>
          </cell>
          <cell r="Z48">
            <v>25519.190634354025</v>
          </cell>
          <cell r="AA48">
            <v>18060.264873757485</v>
          </cell>
          <cell r="AB48">
            <v>19876.207880944432</v>
          </cell>
          <cell r="AC48">
            <v>26291.861632301316</v>
          </cell>
          <cell r="AD48">
            <v>17076.859880943161</v>
          </cell>
          <cell r="AE48">
            <v>20509.209585826546</v>
          </cell>
          <cell r="AF48">
            <v>30395.256483339919</v>
          </cell>
          <cell r="AG48">
            <v>34576.962861638029</v>
          </cell>
          <cell r="AH48">
            <v>30719.143040715295</v>
          </cell>
        </row>
        <row r="49">
          <cell r="C49">
            <v>379539.25054699014</v>
          </cell>
          <cell r="D49">
            <v>420749.84513248183</v>
          </cell>
          <cell r="E49">
            <v>562824.20068118838</v>
          </cell>
          <cell r="F49">
            <v>417610.54333143256</v>
          </cell>
          <cell r="G49">
            <v>463307.15646535589</v>
          </cell>
          <cell r="H49">
            <v>497953.86092928977</v>
          </cell>
          <cell r="I49">
            <v>492998.24940377992</v>
          </cell>
          <cell r="J49">
            <v>399969.53463049239</v>
          </cell>
          <cell r="K49">
            <v>411942.62264017819</v>
          </cell>
          <cell r="L49">
            <v>442415.1884649964</v>
          </cell>
          <cell r="N49">
            <v>463424.56544515491</v>
          </cell>
          <cell r="O49">
            <v>521713.23087690654</v>
          </cell>
          <cell r="P49">
            <v>389535.326740889</v>
          </cell>
          <cell r="Q49">
            <v>525074.51435725635</v>
          </cell>
          <cell r="R49">
            <v>431658.20983913919</v>
          </cell>
          <cell r="S49">
            <v>667559.17402378318</v>
          </cell>
          <cell r="T49">
            <v>347058.84243367973</v>
          </cell>
          <cell r="U49">
            <v>368619.0401081937</v>
          </cell>
          <cell r="V49">
            <v>427865.06317922223</v>
          </cell>
          <cell r="W49">
            <v>333268.89558267652</v>
          </cell>
          <cell r="Y49">
            <v>406549.35590730759</v>
          </cell>
          <cell r="Z49">
            <v>509245.21353554662</v>
          </cell>
          <cell r="AA49">
            <v>364807.31052876427</v>
          </cell>
          <cell r="AB49">
            <v>436503.10772445396</v>
          </cell>
          <cell r="AC49">
            <v>530158.31765535322</v>
          </cell>
          <cell r="AD49">
            <v>353456.77301040414</v>
          </cell>
          <cell r="AE49">
            <v>442696.40272825811</v>
          </cell>
          <cell r="AF49">
            <v>633883.36886147049</v>
          </cell>
          <cell r="AG49">
            <v>666416.50829598401</v>
          </cell>
          <cell r="AH49">
            <v>569068.99163055012</v>
          </cell>
        </row>
        <row r="50">
          <cell r="C50">
            <v>83507.038866719784</v>
          </cell>
          <cell r="D50">
            <v>88685.046498201802</v>
          </cell>
          <cell r="E50">
            <v>123016.32394944305</v>
          </cell>
          <cell r="F50">
            <v>73542.099012712482</v>
          </cell>
          <cell r="G50">
            <v>113947.57202304518</v>
          </cell>
          <cell r="H50">
            <v>106982.68904758956</v>
          </cell>
          <cell r="I50">
            <v>104454.63687695346</v>
          </cell>
          <cell r="J50">
            <v>76377.48993887988</v>
          </cell>
          <cell r="K50">
            <v>81310.247660147725</v>
          </cell>
          <cell r="L50">
            <v>98986.671727041743</v>
          </cell>
          <cell r="N50">
            <v>119486.97472677594</v>
          </cell>
          <cell r="O50">
            <v>164047.30776851784</v>
          </cell>
          <cell r="P50">
            <v>155039.21740398882</v>
          </cell>
          <cell r="Q50">
            <v>115803.46196426672</v>
          </cell>
          <cell r="R50">
            <v>103402.76441524932</v>
          </cell>
          <cell r="S50">
            <v>149665.94991118871</v>
          </cell>
          <cell r="T50">
            <v>90413.453282501083</v>
          </cell>
          <cell r="U50">
            <v>90268.90017496259</v>
          </cell>
          <cell r="V50">
            <v>105121.37343243464</v>
          </cell>
          <cell r="W50">
            <v>81322.151488541611</v>
          </cell>
          <cell r="Y50">
            <v>108008.99711808047</v>
          </cell>
          <cell r="Z50">
            <v>119972.67448575297</v>
          </cell>
          <cell r="AA50">
            <v>86743.214050879833</v>
          </cell>
          <cell r="AB50">
            <v>101847.8369497713</v>
          </cell>
          <cell r="AC50">
            <v>120805.23131401632</v>
          </cell>
          <cell r="AD50">
            <v>75934.327401660354</v>
          </cell>
          <cell r="AE50">
            <v>118941.3845265108</v>
          </cell>
          <cell r="AF50">
            <v>145865.9768735815</v>
          </cell>
          <cell r="AG50">
            <v>199292.73764406284</v>
          </cell>
          <cell r="AH50">
            <v>156653.10628958733</v>
          </cell>
        </row>
        <row r="52">
          <cell r="C52">
            <v>50912.228970498181</v>
          </cell>
          <cell r="D52">
            <v>57415.149162879701</v>
          </cell>
          <cell r="E52">
            <v>74645.390791559214</v>
          </cell>
          <cell r="F52">
            <v>72545.833169181016</v>
          </cell>
          <cell r="G52">
            <v>57687.069843583791</v>
          </cell>
          <cell r="H52">
            <v>73794.549885772503</v>
          </cell>
          <cell r="I52">
            <v>66927.89516977749</v>
          </cell>
          <cell r="J52">
            <v>65576.821878864153</v>
          </cell>
          <cell r="K52">
            <v>57351.907152132058</v>
          </cell>
          <cell r="L52">
            <v>59311.870390972435</v>
          </cell>
          <cell r="N52">
            <v>66933.163633782257</v>
          </cell>
          <cell r="O52">
            <v>65493.380254089061</v>
          </cell>
          <cell r="P52">
            <v>43492.005405696698</v>
          </cell>
          <cell r="Q52">
            <v>80150.627126117994</v>
          </cell>
          <cell r="R52">
            <v>64996.027078321604</v>
          </cell>
          <cell r="S52">
            <v>101753.28222426826</v>
          </cell>
          <cell r="T52">
            <v>47947.600319550533</v>
          </cell>
          <cell r="U52">
            <v>51499.513546961389</v>
          </cell>
          <cell r="V52">
            <v>62840.105321374722</v>
          </cell>
          <cell r="W52">
            <v>49362.284213872699</v>
          </cell>
          <cell r="Y52">
            <v>59457.795256600933</v>
          </cell>
          <cell r="Z52">
            <v>70939.023011402416</v>
          </cell>
          <cell r="AA52">
            <v>51356.86029305197</v>
          </cell>
          <cell r="AB52">
            <v>61089.272372039632</v>
          </cell>
          <cell r="AC52">
            <v>75201.916554137031</v>
          </cell>
          <cell r="AD52">
            <v>52372.159915638629</v>
          </cell>
          <cell r="AE52">
            <v>58975.549048839624</v>
          </cell>
          <cell r="AF52">
            <v>89438.848967174083</v>
          </cell>
          <cell r="AG52">
            <v>82927.575751775352</v>
          </cell>
          <cell r="AH52">
            <v>75792.838361547052</v>
          </cell>
        </row>
        <row r="53">
          <cell r="C53">
            <v>666861.47951934068</v>
          </cell>
          <cell r="D53">
            <v>644944.23314680066</v>
          </cell>
          <cell r="E53">
            <v>959543.60317789181</v>
          </cell>
          <cell r="F53">
            <v>645665.74594071181</v>
          </cell>
          <cell r="G53">
            <v>707875.73882939201</v>
          </cell>
          <cell r="H53">
            <v>796506.87628338812</v>
          </cell>
          <cell r="I53">
            <v>797462.95548198279</v>
          </cell>
          <cell r="J53">
            <v>681920.5204070824</v>
          </cell>
          <cell r="K53">
            <v>813764.29504627909</v>
          </cell>
          <cell r="L53">
            <v>774351.21541236097</v>
          </cell>
          <cell r="N53">
            <v>749027.37144108117</v>
          </cell>
          <cell r="O53">
            <v>928228.22083169629</v>
          </cell>
          <cell r="P53">
            <v>719167.62340464769</v>
          </cell>
          <cell r="Q53">
            <v>1003250.7940079019</v>
          </cell>
          <cell r="R53">
            <v>694655.08690787724</v>
          </cell>
          <cell r="S53">
            <v>1087769.5367241255</v>
          </cell>
          <cell r="T53">
            <v>534241.52645279362</v>
          </cell>
          <cell r="U53">
            <v>685609.25971486617</v>
          </cell>
          <cell r="V53">
            <v>747322.69051432458</v>
          </cell>
          <cell r="W53">
            <v>535508.06374991895</v>
          </cell>
          <cell r="Y53">
            <v>676518.26825189649</v>
          </cell>
          <cell r="Z53">
            <v>816030.30630491022</v>
          </cell>
          <cell r="AA53">
            <v>581369.34131428238</v>
          </cell>
          <cell r="AB53">
            <v>751715.03864992177</v>
          </cell>
          <cell r="AC53">
            <v>837411.69402329286</v>
          </cell>
          <cell r="AD53">
            <v>563604.31630784879</v>
          </cell>
          <cell r="AE53">
            <v>752675.35759045777</v>
          </cell>
          <cell r="AF53">
            <v>1025061.0676405123</v>
          </cell>
          <cell r="AG53">
            <v>1182633.8831072282</v>
          </cell>
          <cell r="AH53">
            <v>906734.28967513272</v>
          </cell>
        </row>
        <row r="54">
          <cell r="C54">
            <v>243710.14855915366</v>
          </cell>
          <cell r="D54">
            <v>267439.20134502999</v>
          </cell>
          <cell r="E54">
            <v>397367.45155010669</v>
          </cell>
          <cell r="F54">
            <v>264894.00909725385</v>
          </cell>
          <cell r="G54">
            <v>277953.57232015504</v>
          </cell>
          <cell r="H54">
            <v>336574.76727364864</v>
          </cell>
          <cell r="I54">
            <v>308077.02497306501</v>
          </cell>
          <cell r="J54">
            <v>254951.43135041636</v>
          </cell>
          <cell r="K54">
            <v>274582.19121146254</v>
          </cell>
          <cell r="L54">
            <v>288294.58720244654</v>
          </cell>
          <cell r="N54">
            <v>308599.95894600987</v>
          </cell>
          <cell r="O54">
            <v>358028.91471358889</v>
          </cell>
          <cell r="P54">
            <v>292489.77373104222</v>
          </cell>
          <cell r="Q54">
            <v>360290.91718600504</v>
          </cell>
          <cell r="R54">
            <v>286931.62480826356</v>
          </cell>
          <cell r="S54">
            <v>455112.94426503323</v>
          </cell>
          <cell r="T54">
            <v>219663.80228737608</v>
          </cell>
          <cell r="U54">
            <v>251931.383728238</v>
          </cell>
          <cell r="V54">
            <v>298933.85426805948</v>
          </cell>
          <cell r="W54">
            <v>223456.78699550807</v>
          </cell>
          <cell r="Y54">
            <v>278385.22134709696</v>
          </cell>
          <cell r="Z54">
            <v>332383.29908812186</v>
          </cell>
          <cell r="AA54">
            <v>232244.49806543416</v>
          </cell>
          <cell r="AB54">
            <v>307548.39871866815</v>
          </cell>
          <cell r="AC54">
            <v>352081.47019901528</v>
          </cell>
          <cell r="AD54">
            <v>233421.27050343165</v>
          </cell>
          <cell r="AE54">
            <v>305452.93902766093</v>
          </cell>
          <cell r="AF54">
            <v>402679.05810100801</v>
          </cell>
          <cell r="AG54">
            <v>456652.37348192482</v>
          </cell>
          <cell r="AH54">
            <v>388592.52810896718</v>
          </cell>
        </row>
        <row r="55">
          <cell r="C55">
            <v>568.55409778690137</v>
          </cell>
          <cell r="D55">
            <v>570.17209507618657</v>
          </cell>
          <cell r="E55">
            <v>845.25885602696246</v>
          </cell>
          <cell r="F55">
            <v>651.39465573564803</v>
          </cell>
          <cell r="G55">
            <v>638.79255897397638</v>
          </cell>
          <cell r="H55">
            <v>729.73527067796022</v>
          </cell>
          <cell r="I55">
            <v>752.27750048868415</v>
          </cell>
          <cell r="J55">
            <v>596.07245450489802</v>
          </cell>
          <cell r="K55">
            <v>568.15961372276502</v>
          </cell>
          <cell r="L55">
            <v>553.53429370023287</v>
          </cell>
          <cell r="N55">
            <v>758.69423545097288</v>
          </cell>
          <cell r="O55">
            <v>1140.5869389015511</v>
          </cell>
          <cell r="P55">
            <v>618.08560886451278</v>
          </cell>
          <cell r="Q55">
            <v>812.15505457719803</v>
          </cell>
          <cell r="R55">
            <v>761.21677205200069</v>
          </cell>
          <cell r="S55">
            <v>1382.3619784294917</v>
          </cell>
          <cell r="T55">
            <v>539.93006315477908</v>
          </cell>
          <cell r="U55">
            <v>650.4559658028287</v>
          </cell>
          <cell r="V55">
            <v>712.66812575463155</v>
          </cell>
          <cell r="W55">
            <v>561.38459458677721</v>
          </cell>
          <cell r="Y55">
            <v>614.80741436960363</v>
          </cell>
          <cell r="Z55">
            <v>906.59110371689076</v>
          </cell>
          <cell r="AA55">
            <v>529.2965776928512</v>
          </cell>
          <cell r="AB55">
            <v>820.44797090879956</v>
          </cell>
          <cell r="AC55">
            <v>999.02638929029069</v>
          </cell>
          <cell r="AD55">
            <v>518.71310729598611</v>
          </cell>
          <cell r="AE55">
            <v>618.19547730792146</v>
          </cell>
          <cell r="AF55">
            <v>894.30006086405683</v>
          </cell>
          <cell r="AG55">
            <v>1302.5151100273217</v>
          </cell>
          <cell r="AH55">
            <v>1033.6650059524966</v>
          </cell>
        </row>
        <row r="56">
          <cell r="C56">
            <v>18964.641107001971</v>
          </cell>
          <cell r="D56">
            <v>21638.200995778698</v>
          </cell>
          <cell r="E56">
            <v>29097.649496503978</v>
          </cell>
          <cell r="F56">
            <v>22440.196685646439</v>
          </cell>
          <cell r="G56">
            <v>23894.504355903646</v>
          </cell>
          <cell r="H56">
            <v>27561.111094078256</v>
          </cell>
          <cell r="I56">
            <v>23857.805053948414</v>
          </cell>
          <cell r="J56">
            <v>21021.364970650975</v>
          </cell>
          <cell r="K56">
            <v>20193.344945187826</v>
          </cell>
          <cell r="L56">
            <v>22278.618882815568</v>
          </cell>
          <cell r="N56">
            <v>26845.196366965945</v>
          </cell>
          <cell r="O56">
            <v>31879.729766862794</v>
          </cell>
          <cell r="P56">
            <v>25181.686989584083</v>
          </cell>
          <cell r="Q56">
            <v>28962.31642895328</v>
          </cell>
          <cell r="R56">
            <v>26794.069189865226</v>
          </cell>
          <cell r="S56">
            <v>39993.640765753502</v>
          </cell>
          <cell r="T56">
            <v>20754.116028932687</v>
          </cell>
          <cell r="U56">
            <v>19532.497661060588</v>
          </cell>
          <cell r="V56">
            <v>25004.298261274595</v>
          </cell>
          <cell r="W56">
            <v>20373.166977845882</v>
          </cell>
          <cell r="Y56">
            <v>25457.691325341912</v>
          </cell>
          <cell r="Z56">
            <v>29073.170782970403</v>
          </cell>
          <cell r="AA56">
            <v>20365.667293140581</v>
          </cell>
          <cell r="AB56">
            <v>24872.010795040485</v>
          </cell>
          <cell r="AC56">
            <v>29385.965605888076</v>
          </cell>
          <cell r="AD56">
            <v>20281.404732521194</v>
          </cell>
          <cell r="AE56">
            <v>25534.272310404256</v>
          </cell>
          <cell r="AF56">
            <v>35248.423046102282</v>
          </cell>
          <cell r="AG56">
            <v>38064.159713601541</v>
          </cell>
          <cell r="AH56">
            <v>36847.845331419456</v>
          </cell>
        </row>
        <row r="57">
          <cell r="C57">
            <v>455.35297977357322</v>
          </cell>
          <cell r="D57">
            <v>245.2355262410365</v>
          </cell>
          <cell r="E57">
            <v>447.05963352074644</v>
          </cell>
          <cell r="F57">
            <v>325.44906321039002</v>
          </cell>
          <cell r="G57">
            <v>396.86424418647005</v>
          </cell>
          <cell r="H57">
            <v>237.15345804517671</v>
          </cell>
          <cell r="I57">
            <v>217.46203615598247</v>
          </cell>
          <cell r="J57">
            <v>371.40563869395498</v>
          </cell>
          <cell r="K57">
            <v>143.58239324044948</v>
          </cell>
          <cell r="L57">
            <v>254.03486880373876</v>
          </cell>
          <cell r="N57">
            <v>225.08207407394249</v>
          </cell>
          <cell r="O57">
            <v>967.09825793099606</v>
          </cell>
          <cell r="P57">
            <v>561.99158473130524</v>
          </cell>
          <cell r="Q57">
            <v>474.95342847285201</v>
          </cell>
          <cell r="R57">
            <v>513.4689021460847</v>
          </cell>
          <cell r="S57">
            <v>560.64726095089645</v>
          </cell>
          <cell r="T57">
            <v>389.56220349699669</v>
          </cell>
          <cell r="U57">
            <v>254.81666641417456</v>
          </cell>
          <cell r="V57">
            <v>317.97125066361906</v>
          </cell>
          <cell r="W57">
            <v>267.82377749358517</v>
          </cell>
          <cell r="Y57">
            <v>207.47248851163903</v>
          </cell>
          <cell r="Z57">
            <v>445.11756604516017</v>
          </cell>
          <cell r="AA57">
            <v>368.01488773362303</v>
          </cell>
          <cell r="AB57">
            <v>371.60594659992046</v>
          </cell>
          <cell r="AC57">
            <v>478.12947241148936</v>
          </cell>
          <cell r="AD57">
            <v>196.70383625462765</v>
          </cell>
          <cell r="AE57">
            <v>227.78713843691636</v>
          </cell>
          <cell r="AF57">
            <v>560.62952905596592</v>
          </cell>
          <cell r="AG57">
            <v>725.41694387639586</v>
          </cell>
          <cell r="AH57">
            <v>399.98055791566105</v>
          </cell>
        </row>
        <row r="58">
          <cell r="C58">
            <v>2084.5745731734964</v>
          </cell>
          <cell r="D58">
            <v>3067.9288012921702</v>
          </cell>
          <cell r="E58">
            <v>3179.5592357564838</v>
          </cell>
          <cell r="F58">
            <v>2887.5297125334973</v>
          </cell>
          <cell r="G58">
            <v>4450.5651772683959</v>
          </cell>
          <cell r="H58">
            <v>3901.8575659843991</v>
          </cell>
          <cell r="I58">
            <v>2810.4553171969319</v>
          </cell>
          <cell r="J58">
            <v>2424.5370561368763</v>
          </cell>
          <cell r="K58">
            <v>1926.2687828105429</v>
          </cell>
          <cell r="L58">
            <v>2332.2382210573005</v>
          </cell>
          <cell r="N58">
            <v>3804.8110234001874</v>
          </cell>
          <cell r="O58">
            <v>4965.9415580934765</v>
          </cell>
          <cell r="P58">
            <v>4831.6227467227191</v>
          </cell>
          <cell r="Q58">
            <v>2588.0954499014483</v>
          </cell>
          <cell r="R58">
            <v>3706.4255304140711</v>
          </cell>
          <cell r="S58">
            <v>4860.0162958790252</v>
          </cell>
          <cell r="T58">
            <v>3160.9638794440675</v>
          </cell>
          <cell r="U58">
            <v>2271.8497173314754</v>
          </cell>
          <cell r="V58">
            <v>3276.2777342507347</v>
          </cell>
          <cell r="W58">
            <v>2628.3903745978009</v>
          </cell>
          <cell r="Y58">
            <v>3522.9265330599478</v>
          </cell>
          <cell r="Z58">
            <v>3805.8746914231551</v>
          </cell>
          <cell r="AA58">
            <v>2917.9600258492655</v>
          </cell>
          <cell r="AB58">
            <v>3288.441235704684</v>
          </cell>
          <cell r="AC58">
            <v>3597.5554814808743</v>
          </cell>
          <cell r="AD58">
            <v>2787.0316594271972</v>
          </cell>
          <cell r="AE58">
            <v>3451.0073654637736</v>
          </cell>
          <cell r="AF58">
            <v>4780.5956380613279</v>
          </cell>
          <cell r="AG58">
            <v>5557.2649587333071</v>
          </cell>
          <cell r="AH58">
            <v>5986.4202375415416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C60">
            <v>399.96960365832552</v>
          </cell>
          <cell r="D60">
            <v>319.90475120368819</v>
          </cell>
          <cell r="E60">
            <v>502.48723163554865</v>
          </cell>
          <cell r="F60">
            <v>213.97782554343985</v>
          </cell>
          <cell r="G60">
            <v>394.57067260820747</v>
          </cell>
          <cell r="H60">
            <v>370.41268838303455</v>
          </cell>
          <cell r="I60">
            <v>288.09294958013669</v>
          </cell>
          <cell r="J60">
            <v>364.42381282423219</v>
          </cell>
          <cell r="K60">
            <v>259.36023658432526</v>
          </cell>
          <cell r="L60">
            <v>321.88614222885082</v>
          </cell>
          <cell r="N60">
            <v>439.3767065655199</v>
          </cell>
          <cell r="O60">
            <v>395.20780292259434</v>
          </cell>
          <cell r="P60">
            <v>523.39263101552751</v>
          </cell>
          <cell r="Q60">
            <v>471.48249963031736</v>
          </cell>
          <cell r="R60">
            <v>340.75621268979108</v>
          </cell>
          <cell r="S60">
            <v>598.05500041913535</v>
          </cell>
          <cell r="T60">
            <v>239.49220824717273</v>
          </cell>
          <cell r="U60">
            <v>281.66120376101986</v>
          </cell>
          <cell r="V60">
            <v>438.03329544633084</v>
          </cell>
          <cell r="W60">
            <v>280.70659271655774</v>
          </cell>
          <cell r="Y60">
            <v>275.52718193116453</v>
          </cell>
          <cell r="Z60">
            <v>437.4144933137332</v>
          </cell>
          <cell r="AA60">
            <v>277.05527782472109</v>
          </cell>
          <cell r="AB60">
            <v>445.65294894380605</v>
          </cell>
          <cell r="AC60">
            <v>518.26929714661026</v>
          </cell>
          <cell r="AD60">
            <v>265.2549807405797</v>
          </cell>
          <cell r="AE60">
            <v>224.41141261894049</v>
          </cell>
          <cell r="AF60">
            <v>419.00365509435255</v>
          </cell>
          <cell r="AG60">
            <v>577.15774313269355</v>
          </cell>
          <cell r="AH60">
            <v>524.42513896637149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191.89828585145901</v>
          </cell>
          <cell r="AE61">
            <v>167.5452965440565</v>
          </cell>
          <cell r="AF61">
            <v>451.51835347073671</v>
          </cell>
          <cell r="AG61">
            <v>551.52975576152426</v>
          </cell>
          <cell r="AH61">
            <v>0</v>
          </cell>
        </row>
        <row r="62">
          <cell r="C62">
            <v>1152.3802679551641</v>
          </cell>
          <cell r="D62">
            <v>1649.2242161227921</v>
          </cell>
          <cell r="E62">
            <v>1358.2239057464328</v>
          </cell>
          <cell r="F62">
            <v>1219.7944681056808</v>
          </cell>
          <cell r="G62">
            <v>2524.3645721353591</v>
          </cell>
          <cell r="H62">
            <v>2103.7395382710297</v>
          </cell>
          <cell r="I62">
            <v>1361.6435211689391</v>
          </cell>
          <cell r="J62">
            <v>1028.2710705902264</v>
          </cell>
          <cell r="K62">
            <v>1096.3770103117695</v>
          </cell>
          <cell r="L62">
            <v>1189.7430177811834</v>
          </cell>
          <cell r="N62">
            <v>1978.0136019325007</v>
          </cell>
          <cell r="O62">
            <v>2899.8942262276896</v>
          </cell>
          <cell r="P62">
            <v>2435.8819268593256</v>
          </cell>
          <cell r="Q62">
            <v>1766.8782413661011</v>
          </cell>
          <cell r="R62">
            <v>2541.1932675320113</v>
          </cell>
          <cell r="S62">
            <v>2889.5155610420211</v>
          </cell>
          <cell r="T62">
            <v>1935.5400717086725</v>
          </cell>
          <cell r="U62">
            <v>1361.6526803450738</v>
          </cell>
          <cell r="V62">
            <v>1978.8634546926353</v>
          </cell>
          <cell r="W62">
            <v>1610.1419224943063</v>
          </cell>
          <cell r="Y62">
            <v>2156.6942686053021</v>
          </cell>
          <cell r="Z62">
            <v>2346.9339748352281</v>
          </cell>
          <cell r="AA62">
            <v>1700.5695753300988</v>
          </cell>
          <cell r="AB62">
            <v>1925.1870068054975</v>
          </cell>
          <cell r="AC62">
            <v>1971.4596887583264</v>
          </cell>
          <cell r="AD62">
            <v>1464.557221675163</v>
          </cell>
          <cell r="AE62">
            <v>2019.075145116605</v>
          </cell>
          <cell r="AF62">
            <v>2622.5917401874458</v>
          </cell>
          <cell r="AG62">
            <v>3175.0756285654516</v>
          </cell>
          <cell r="AH62">
            <v>3462.0918271716655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 Venn Diagram (DOWN)"/>
      <sheetName val="R iWAT - TAG"/>
      <sheetName val="R iWAT - TAG (ordered)"/>
      <sheetName val="R iWAT - DAG"/>
      <sheetName val="R iWAT - DAG (ordered)"/>
      <sheetName val="R iWAT - Ceramide"/>
      <sheetName val="R iWAT - Ceramide (Ordered)"/>
      <sheetName val="iWAT - GC Results (nmol g)"/>
      <sheetName val="iWAT - TAG"/>
      <sheetName val="iWAT - DAG"/>
      <sheetName val="iWAT - Ceram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C4">
            <v>22.705397409242185</v>
          </cell>
          <cell r="D4">
            <v>27.137087015942946</v>
          </cell>
          <cell r="E4">
            <v>25.540931666788197</v>
          </cell>
          <cell r="F4">
            <v>30.165226306961696</v>
          </cell>
          <cell r="G4">
            <v>21.869975091550163</v>
          </cell>
          <cell r="H4">
            <v>18.373186496348801</v>
          </cell>
          <cell r="I4">
            <v>25.043048314953158</v>
          </cell>
          <cell r="J4">
            <v>12.756737562030766</v>
          </cell>
          <cell r="K4">
            <v>29.075155394433462</v>
          </cell>
          <cell r="L4">
            <v>20.267907805512088</v>
          </cell>
          <cell r="N4">
            <v>16.111130328928269</v>
          </cell>
          <cell r="O4">
            <v>12.777715994477036</v>
          </cell>
          <cell r="P4">
            <v>17.432051267345805</v>
          </cell>
          <cell r="Q4">
            <v>20.562164564474926</v>
          </cell>
          <cell r="R4">
            <v>23.916613089597984</v>
          </cell>
          <cell r="S4">
            <v>10.496243160859235</v>
          </cell>
          <cell r="T4">
            <v>12.065776293496025</v>
          </cell>
          <cell r="V4">
            <v>13.784121547434971</v>
          </cell>
          <cell r="W4">
            <v>21.605283357144689</v>
          </cell>
          <cell r="Y4">
            <v>13.357360059466098</v>
          </cell>
          <cell r="Z4">
            <v>12.993104848809574</v>
          </cell>
          <cell r="AA4">
            <v>11.042638519763079</v>
          </cell>
          <cell r="AB4">
            <v>14.096108870932886</v>
          </cell>
          <cell r="AC4">
            <v>11.390253077696155</v>
          </cell>
          <cell r="AD4">
            <v>15.331563715761092</v>
          </cell>
          <cell r="AE4">
            <v>16.939810405119697</v>
          </cell>
          <cell r="AF4">
            <v>11.75643133650278</v>
          </cell>
          <cell r="AG4">
            <v>17.096986534785728</v>
          </cell>
          <cell r="AH4">
            <v>14.257966797592383</v>
          </cell>
        </row>
        <row r="6">
          <cell r="C6">
            <v>363.95079633884035</v>
          </cell>
          <cell r="D6">
            <v>455.47874381700603</v>
          </cell>
          <cell r="E6">
            <v>294.76941468529253</v>
          </cell>
          <cell r="F6">
            <v>388.84428865717092</v>
          </cell>
          <cell r="G6">
            <v>244.78644564393508</v>
          </cell>
          <cell r="H6">
            <v>253.63250388996352</v>
          </cell>
          <cell r="I6">
            <v>420.94935974093841</v>
          </cell>
          <cell r="J6">
            <v>175.97023678199167</v>
          </cell>
          <cell r="K6">
            <v>427.01946427149409</v>
          </cell>
          <cell r="L6">
            <v>163.51583770083025</v>
          </cell>
          <cell r="N6">
            <v>255.90903450527384</v>
          </cell>
          <cell r="O6">
            <v>141.25648420530749</v>
          </cell>
          <cell r="P6">
            <v>164.02712801095615</v>
          </cell>
          <cell r="Q6">
            <v>234.25058388233307</v>
          </cell>
          <cell r="R6">
            <v>266.15972760219586</v>
          </cell>
          <cell r="S6">
            <v>122.70282241019032</v>
          </cell>
          <cell r="T6">
            <v>108.31872010204135</v>
          </cell>
          <cell r="V6">
            <v>175.66477810723561</v>
          </cell>
          <cell r="W6">
            <v>177.57205423252142</v>
          </cell>
          <cell r="Y6">
            <v>155.95230333329459</v>
          </cell>
          <cell r="Z6">
            <v>144.314995488835</v>
          </cell>
          <cell r="AA6">
            <v>112.70536814025088</v>
          </cell>
          <cell r="AB6">
            <v>125.11022147367045</v>
          </cell>
          <cell r="AC6">
            <v>96.542854188416698</v>
          </cell>
          <cell r="AD6">
            <v>122.01339638743981</v>
          </cell>
          <cell r="AE6">
            <v>186.45491192442441</v>
          </cell>
          <cell r="AF6">
            <v>118.99593227376756</v>
          </cell>
          <cell r="AG6">
            <v>242.93453184774279</v>
          </cell>
          <cell r="AH6">
            <v>214.93162742625637</v>
          </cell>
        </row>
        <row r="7">
          <cell r="C7">
            <v>36.235293878118</v>
          </cell>
          <cell r="D7">
            <v>43.382762529889206</v>
          </cell>
          <cell r="E7">
            <v>48.119022426973778</v>
          </cell>
          <cell r="F7">
            <v>54.050454910564923</v>
          </cell>
          <cell r="G7">
            <v>32.476934431768065</v>
          </cell>
          <cell r="H7">
            <v>44.926960500410473</v>
          </cell>
          <cell r="I7">
            <v>45.187000923087837</v>
          </cell>
          <cell r="J7">
            <v>30.409030056949664</v>
          </cell>
          <cell r="K7">
            <v>68.164840931684509</v>
          </cell>
          <cell r="L7">
            <v>31.373587939141892</v>
          </cell>
          <cell r="N7">
            <v>35.119696743744512</v>
          </cell>
          <cell r="O7">
            <v>25.143985050634324</v>
          </cell>
          <cell r="P7">
            <v>22.681486462734409</v>
          </cell>
          <cell r="Q7">
            <v>19.123674168741019</v>
          </cell>
          <cell r="R7">
            <v>30.553968969117236</v>
          </cell>
          <cell r="S7">
            <v>15.361835525571218</v>
          </cell>
          <cell r="T7">
            <v>14.048362164266647</v>
          </cell>
          <cell r="V7">
            <v>20.875051758279518</v>
          </cell>
          <cell r="W7">
            <v>28.767693291387165</v>
          </cell>
          <cell r="Y7">
            <v>15.427082778336615</v>
          </cell>
          <cell r="Z7">
            <v>17.364985338706092</v>
          </cell>
          <cell r="AA7">
            <v>26.142118633482426</v>
          </cell>
          <cell r="AB7">
            <v>19.541313437818648</v>
          </cell>
          <cell r="AC7">
            <v>14.970186652595647</v>
          </cell>
          <cell r="AD7">
            <v>16.022452978571646</v>
          </cell>
          <cell r="AE7">
            <v>19.066244857691814</v>
          </cell>
          <cell r="AF7">
            <v>12.696237784806298</v>
          </cell>
          <cell r="AG7">
            <v>45.822537957968464</v>
          </cell>
          <cell r="AH7">
            <v>38.688754988630492</v>
          </cell>
        </row>
        <row r="8">
          <cell r="C8">
            <v>187.36166853948816</v>
          </cell>
          <cell r="D8">
            <v>192.42233205614986</v>
          </cell>
          <cell r="E8">
            <v>131.87690643688956</v>
          </cell>
          <cell r="F8">
            <v>161.58580395992854</v>
          </cell>
          <cell r="G8">
            <v>130.05014343366415</v>
          </cell>
          <cell r="H8">
            <v>130.09000783564431</v>
          </cell>
          <cell r="I8">
            <v>195.76125859694471</v>
          </cell>
          <cell r="J8">
            <v>93.988727529975066</v>
          </cell>
          <cell r="K8">
            <v>153.13287986660632</v>
          </cell>
          <cell r="L8">
            <v>93.21850451983444</v>
          </cell>
          <cell r="N8">
            <v>107.8797565500907</v>
          </cell>
          <cell r="O8">
            <v>76.301444589656114</v>
          </cell>
          <cell r="P8">
            <v>87.179309109037973</v>
          </cell>
          <cell r="Q8">
            <v>127.41221047586518</v>
          </cell>
          <cell r="R8">
            <v>150.29189314944847</v>
          </cell>
          <cell r="S8">
            <v>73.096766091952347</v>
          </cell>
          <cell r="T8">
            <v>64.504324208299252</v>
          </cell>
          <cell r="V8">
            <v>96.343575512375651</v>
          </cell>
          <cell r="W8">
            <v>120.6006924784228</v>
          </cell>
          <cell r="Y8">
            <v>83.053743267230061</v>
          </cell>
          <cell r="Z8">
            <v>75.714017502660553</v>
          </cell>
          <cell r="AA8">
            <v>63.979683735418519</v>
          </cell>
          <cell r="AB8">
            <v>75.141509907991306</v>
          </cell>
          <cell r="AC8">
            <v>64.553313696434131</v>
          </cell>
          <cell r="AD8">
            <v>90.035802912829922</v>
          </cell>
          <cell r="AE8">
            <v>109.55030980038748</v>
          </cell>
          <cell r="AF8">
            <v>85.246702596858469</v>
          </cell>
          <cell r="AG8">
            <v>77.658641461869323</v>
          </cell>
          <cell r="AH8">
            <v>73.999518905027188</v>
          </cell>
        </row>
        <row r="9">
          <cell r="C9">
            <v>134.36578357373142</v>
          </cell>
          <cell r="D9">
            <v>231.55308941125662</v>
          </cell>
          <cell r="E9">
            <v>156.3030417579252</v>
          </cell>
          <cell r="F9">
            <v>232.31465961055596</v>
          </cell>
          <cell r="G9">
            <v>120.59057792040956</v>
          </cell>
          <cell r="H9">
            <v>179.08310949634222</v>
          </cell>
          <cell r="I9">
            <v>327.94891917359769</v>
          </cell>
          <cell r="J9">
            <v>146.9100649510932</v>
          </cell>
          <cell r="K9">
            <v>371.6400445562644</v>
          </cell>
          <cell r="L9">
            <v>74.695560617931349</v>
          </cell>
          <cell r="N9">
            <v>187.0859378464057</v>
          </cell>
          <cell r="O9">
            <v>86.45937209137287</v>
          </cell>
          <cell r="P9">
            <v>49.849439486005046</v>
          </cell>
          <cell r="Q9">
            <v>73.226928031932516</v>
          </cell>
          <cell r="R9">
            <v>69.379749848382389</v>
          </cell>
          <cell r="S9">
            <v>86.117573768041538</v>
          </cell>
          <cell r="T9">
            <v>53.061041340806554</v>
          </cell>
          <cell r="V9">
            <v>88.972561955366345</v>
          </cell>
          <cell r="W9">
            <v>65.810335825966078</v>
          </cell>
          <cell r="Y9">
            <v>42.834016577796092</v>
          </cell>
          <cell r="Z9">
            <v>57.310428126364101</v>
          </cell>
          <cell r="AA9">
            <v>49.989582587051068</v>
          </cell>
          <cell r="AB9">
            <v>52.38536211390872</v>
          </cell>
          <cell r="AC9">
            <v>32.474704177521609</v>
          </cell>
          <cell r="AD9">
            <v>36.686677799868768</v>
          </cell>
          <cell r="AE9">
            <v>40.56279254198553</v>
          </cell>
          <cell r="AF9">
            <v>32.069748981687766</v>
          </cell>
          <cell r="AG9">
            <v>267.49885027726094</v>
          </cell>
          <cell r="AH9">
            <v>239.25263408780484</v>
          </cell>
        </row>
        <row r="10">
          <cell r="C10">
            <v>74.33757083511729</v>
          </cell>
          <cell r="D10">
            <v>34.789645320501812</v>
          </cell>
          <cell r="E10">
            <v>32.875674784629858</v>
          </cell>
          <cell r="F10">
            <v>35.764233304339413</v>
          </cell>
          <cell r="G10">
            <v>10.239883497813693</v>
          </cell>
          <cell r="H10">
            <v>28.502542922163418</v>
          </cell>
          <cell r="I10">
            <v>47.938365101851382</v>
          </cell>
          <cell r="J10">
            <v>45.08845442780688</v>
          </cell>
          <cell r="K10">
            <v>91.057255059656185</v>
          </cell>
          <cell r="L10">
            <v>16.012618830558104</v>
          </cell>
          <cell r="N10">
            <v>41.427993573739748</v>
          </cell>
          <cell r="O10">
            <v>20.808462190199403</v>
          </cell>
          <cell r="P10">
            <v>9.1098256424313053</v>
          </cell>
          <cell r="Q10">
            <v>39.406248795818627</v>
          </cell>
          <cell r="R10">
            <v>9.4656165920487947</v>
          </cell>
          <cell r="S10">
            <v>19.785463650163706</v>
          </cell>
          <cell r="T10">
            <v>9.6815627790968417</v>
          </cell>
          <cell r="V10">
            <v>11.459255250403874</v>
          </cell>
          <cell r="W10">
            <v>10.514302907729618</v>
          </cell>
          <cell r="Y10">
            <v>3.6617621132492975</v>
          </cell>
          <cell r="Z10">
            <v>7.6876272562564605</v>
          </cell>
          <cell r="AA10">
            <v>10.518952066941024</v>
          </cell>
          <cell r="AB10">
            <v>6.8904966880527505</v>
          </cell>
          <cell r="AC10">
            <v>0.66983177839012531</v>
          </cell>
          <cell r="AD10">
            <v>8.2327010233517566</v>
          </cell>
          <cell r="AE10">
            <v>3.5215245547424439</v>
          </cell>
          <cell r="AF10">
            <v>3.4161790505120502</v>
          </cell>
          <cell r="AG10">
            <v>85.754293080908781</v>
          </cell>
          <cell r="AH10">
            <v>88.257404294503715</v>
          </cell>
        </row>
        <row r="11">
          <cell r="C11">
            <v>25.424000129792457</v>
          </cell>
          <cell r="D11">
            <v>15.172108124294867</v>
          </cell>
          <cell r="E11">
            <v>17.54139908735792</v>
          </cell>
          <cell r="F11">
            <v>18.560391569657778</v>
          </cell>
          <cell r="G11">
            <v>14.547345587822646</v>
          </cell>
          <cell r="H11">
            <v>15.11143328874417</v>
          </cell>
          <cell r="I11">
            <v>15.967572827604357</v>
          </cell>
          <cell r="J11">
            <v>13.324288225017169</v>
          </cell>
          <cell r="K11">
            <v>16.613382554195407</v>
          </cell>
          <cell r="L11">
            <v>13.892554150471312</v>
          </cell>
          <cell r="N11">
            <v>16.486810969680711</v>
          </cell>
          <cell r="O11">
            <v>10.801307648922235</v>
          </cell>
          <cell r="P11">
            <v>13.650598317840867</v>
          </cell>
          <cell r="Q11">
            <v>11.094588382510299</v>
          </cell>
          <cell r="R11">
            <v>18.491394309466415</v>
          </cell>
          <cell r="S11">
            <v>10.15799617374593</v>
          </cell>
          <cell r="T11">
            <v>10.174001833551074</v>
          </cell>
          <cell r="V11">
            <v>12.8656636172131</v>
          </cell>
          <cell r="W11">
            <v>17.765109189495238</v>
          </cell>
          <cell r="Y11">
            <v>9.7057385326494821</v>
          </cell>
          <cell r="Z11">
            <v>10.844303345129342</v>
          </cell>
          <cell r="AA11">
            <v>11.512617616239115</v>
          </cell>
          <cell r="AB11">
            <v>13.448464522720757</v>
          </cell>
          <cell r="AC11">
            <v>11.212981252873242</v>
          </cell>
          <cell r="AD11">
            <v>12.337338887787583</v>
          </cell>
          <cell r="AE11">
            <v>10.811099373736393</v>
          </cell>
          <cell r="AF11">
            <v>10.368615422262334</v>
          </cell>
          <cell r="AG11">
            <v>7.5879305493633877</v>
          </cell>
          <cell r="AH11">
            <v>7.3159826944032949</v>
          </cell>
        </row>
        <row r="12">
          <cell r="C12">
            <v>12.865255461205059</v>
          </cell>
          <cell r="D12">
            <v>18.423638173742066</v>
          </cell>
          <cell r="E12">
            <v>11.927804446363339</v>
          </cell>
          <cell r="F12">
            <v>16.53860875801697</v>
          </cell>
          <cell r="G12">
            <v>8.5659099872842663</v>
          </cell>
          <cell r="H12">
            <v>12.892451148784614</v>
          </cell>
          <cell r="I12">
            <v>12.957906914658066</v>
          </cell>
          <cell r="J12">
            <v>11.307428319665121</v>
          </cell>
          <cell r="K12">
            <v>14.674268368675166</v>
          </cell>
          <cell r="L12">
            <v>11.839433362805512</v>
          </cell>
          <cell r="N12">
            <v>11.898054796962821</v>
          </cell>
          <cell r="O12">
            <v>8.3726005563034427</v>
          </cell>
          <cell r="P12">
            <v>11.054030129741342</v>
          </cell>
          <cell r="Q12">
            <v>9.1984860454686661</v>
          </cell>
          <cell r="R12">
            <v>8.0104482475787222</v>
          </cell>
          <cell r="S12">
            <v>9.4821877077278423</v>
          </cell>
          <cell r="T12">
            <v>7.2964494424439197</v>
          </cell>
          <cell r="V12">
            <v>7.644215627180734</v>
          </cell>
          <cell r="W12">
            <v>9.2196590547059465</v>
          </cell>
          <cell r="Y12">
            <v>5.6540484548251078</v>
          </cell>
          <cell r="Z12">
            <v>7.3307197552173928</v>
          </cell>
          <cell r="AA12">
            <v>10.142183542424723</v>
          </cell>
          <cell r="AB12">
            <v>7.5543935405696194</v>
          </cell>
          <cell r="AC12">
            <v>7.4702022001254065</v>
          </cell>
          <cell r="AD12">
            <v>8.3176600844154009</v>
          </cell>
          <cell r="AE12">
            <v>7.6961408431354714</v>
          </cell>
          <cell r="AF12">
            <v>5.8031224326146678</v>
          </cell>
          <cell r="AG12">
            <v>9.4045616240883287</v>
          </cell>
          <cell r="AH12">
            <v>9.3065304934994444</v>
          </cell>
        </row>
        <row r="13">
          <cell r="C13">
            <v>25.830094624486122</v>
          </cell>
          <cell r="D13">
            <v>27.994284970680813</v>
          </cell>
          <cell r="E13">
            <v>28.637967802803448</v>
          </cell>
          <cell r="F13">
            <v>33.002232262369915</v>
          </cell>
          <cell r="G13">
            <v>25.813079543567916</v>
          </cell>
          <cell r="H13">
            <v>21.358309269135045</v>
          </cell>
          <cell r="I13">
            <v>28.587734707910943</v>
          </cell>
          <cell r="J13">
            <v>17.031161521960886</v>
          </cell>
          <cell r="K13">
            <v>26.223501898641135</v>
          </cell>
          <cell r="L13">
            <v>21.959378239169219</v>
          </cell>
          <cell r="N13">
            <v>22.932004790059416</v>
          </cell>
          <cell r="O13">
            <v>22.381016789661707</v>
          </cell>
          <cell r="P13">
            <v>20.670510841487975</v>
          </cell>
          <cell r="Q13">
            <v>19.821576623830971</v>
          </cell>
          <cell r="R13">
            <v>29.985405593894107</v>
          </cell>
          <cell r="S13">
            <v>18.634386694667782</v>
          </cell>
          <cell r="T13">
            <v>18.785731999590141</v>
          </cell>
          <cell r="V13">
            <v>16.864508536881754</v>
          </cell>
          <cell r="W13">
            <v>26.360226382596192</v>
          </cell>
          <cell r="Y13">
            <v>18.384364256566315</v>
          </cell>
          <cell r="Z13">
            <v>15.984401992289133</v>
          </cell>
          <cell r="AA13">
            <v>18.486937690290109</v>
          </cell>
          <cell r="AB13">
            <v>18.819640410864579</v>
          </cell>
          <cell r="AC13">
            <v>18.111397291491187</v>
          </cell>
          <cell r="AD13">
            <v>15.461605809883951</v>
          </cell>
          <cell r="AE13">
            <v>18.936083874165831</v>
          </cell>
          <cell r="AF13">
            <v>17.191520290781927</v>
          </cell>
          <cell r="AG13">
            <v>12.501614143381977</v>
          </cell>
          <cell r="AH13">
            <v>13.50346888188715</v>
          </cell>
        </row>
        <row r="14">
          <cell r="C14">
            <v>21.482990473748103</v>
          </cell>
          <cell r="D14">
            <v>17.777822230934419</v>
          </cell>
          <cell r="E14">
            <v>18.250393574396771</v>
          </cell>
          <cell r="F14">
            <v>24.20508627031235</v>
          </cell>
          <cell r="G14">
            <v>15.047918840593091</v>
          </cell>
          <cell r="H14">
            <v>17.206148774623379</v>
          </cell>
          <cell r="I14">
            <v>16.591136630980667</v>
          </cell>
          <cell r="J14">
            <v>10.779811968731172</v>
          </cell>
          <cell r="K14">
            <v>21.029376280298216</v>
          </cell>
          <cell r="L14">
            <v>21.107022964624647</v>
          </cell>
          <cell r="N14">
            <v>19.079395779681342</v>
          </cell>
          <cell r="O14">
            <v>13.234316131524968</v>
          </cell>
          <cell r="P14">
            <v>11.511009883881648</v>
          </cell>
          <cell r="Q14">
            <v>14.041845812036415</v>
          </cell>
          <cell r="R14">
            <v>19.760419821509561</v>
          </cell>
          <cell r="S14">
            <v>10.916793051953047</v>
          </cell>
          <cell r="T14">
            <v>14.265334245491994</v>
          </cell>
          <cell r="V14">
            <v>15.782604464817599</v>
          </cell>
          <cell r="W14">
            <v>17.205896131792294</v>
          </cell>
          <cell r="Y14">
            <v>8.4276745026894844</v>
          </cell>
          <cell r="Z14">
            <v>8.606049453589355</v>
          </cell>
          <cell r="AA14">
            <v>11.850104108665583</v>
          </cell>
          <cell r="AB14">
            <v>11.200501311145</v>
          </cell>
          <cell r="AC14">
            <v>8.6424609093956573</v>
          </cell>
          <cell r="AD14">
            <v>18.776850988473967</v>
          </cell>
          <cell r="AE14">
            <v>10.620413675996048</v>
          </cell>
          <cell r="AF14">
            <v>15.682484138769972</v>
          </cell>
          <cell r="AG14">
            <v>8.577342806899857</v>
          </cell>
          <cell r="AH14">
            <v>7.624536295656922</v>
          </cell>
        </row>
        <row r="15">
          <cell r="C15">
            <v>44.152350978029354</v>
          </cell>
          <cell r="D15">
            <v>42.388961627143125</v>
          </cell>
          <cell r="E15">
            <v>37.884161418801057</v>
          </cell>
          <cell r="F15">
            <v>39.661732426099526</v>
          </cell>
          <cell r="G15">
            <v>31.766130346916121</v>
          </cell>
          <cell r="H15">
            <v>33.058393962206146</v>
          </cell>
          <cell r="I15">
            <v>30.315416514244081</v>
          </cell>
          <cell r="J15">
            <v>25.564905570893302</v>
          </cell>
          <cell r="K15">
            <v>38.957204416455141</v>
          </cell>
          <cell r="L15">
            <v>32.107183079446557</v>
          </cell>
          <cell r="N15">
            <v>27.490989995998813</v>
          </cell>
          <cell r="O15">
            <v>22.532326943379264</v>
          </cell>
          <cell r="P15">
            <v>29.193656480156257</v>
          </cell>
          <cell r="Q15">
            <v>36.213683539694216</v>
          </cell>
          <cell r="R15">
            <v>32.050926716184996</v>
          </cell>
          <cell r="S15">
            <v>26.344423715633773</v>
          </cell>
          <cell r="T15">
            <v>17.068693415687278</v>
          </cell>
          <cell r="V15">
            <v>18.008678945113648</v>
          </cell>
          <cell r="W15">
            <v>32.746821558002665</v>
          </cell>
          <cell r="Y15">
            <v>19.489075952206768</v>
          </cell>
          <cell r="Z15">
            <v>22.39659981704974</v>
          </cell>
          <cell r="AA15">
            <v>22.167489443995859</v>
          </cell>
          <cell r="AB15">
            <v>22.756912766157807</v>
          </cell>
          <cell r="AC15">
            <v>20.903926938267105</v>
          </cell>
          <cell r="AD15">
            <v>25.032842766191266</v>
          </cell>
          <cell r="AE15">
            <v>25.84370552539157</v>
          </cell>
          <cell r="AF15">
            <v>21.49101927914381</v>
          </cell>
          <cell r="AG15">
            <v>13.120203268877342</v>
          </cell>
          <cell r="AH15">
            <v>13.794239631127695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C17">
            <v>34.176364725624538</v>
          </cell>
          <cell r="D17">
            <v>40.482720880378515</v>
          </cell>
          <cell r="E17">
            <v>46.620269928647161</v>
          </cell>
          <cell r="F17">
            <v>47.939249606277336</v>
          </cell>
          <cell r="G17">
            <v>40.919241660396281</v>
          </cell>
          <cell r="H17">
            <v>33.755645596258219</v>
          </cell>
          <cell r="I17">
            <v>36.190558996952142</v>
          </cell>
          <cell r="J17">
            <v>26.174244122445401</v>
          </cell>
          <cell r="K17">
            <v>42.451066852839631</v>
          </cell>
          <cell r="L17">
            <v>33.148450754393814</v>
          </cell>
          <cell r="N17">
            <v>33.630786347501726</v>
          </cell>
          <cell r="O17">
            <v>28.731769545022424</v>
          </cell>
          <cell r="P17">
            <v>29.752991182012575</v>
          </cell>
          <cell r="Q17">
            <v>28.612672947534758</v>
          </cell>
          <cell r="R17">
            <v>44.329745054612623</v>
          </cell>
          <cell r="S17">
            <v>30.098910888668822</v>
          </cell>
          <cell r="T17">
            <v>24.290397601271778</v>
          </cell>
          <cell r="V17">
            <v>25.187050845477309</v>
          </cell>
          <cell r="W17">
            <v>40.639142688479254</v>
          </cell>
          <cell r="Y17">
            <v>26.966618170398814</v>
          </cell>
          <cell r="Z17">
            <v>26.577593201595693</v>
          </cell>
          <cell r="AA17">
            <v>28.001713360802849</v>
          </cell>
          <cell r="AB17">
            <v>28.868094704339132</v>
          </cell>
          <cell r="AC17">
            <v>28.805666090336288</v>
          </cell>
          <cell r="AD17">
            <v>25.891601343957856</v>
          </cell>
          <cell r="AE17">
            <v>27.155437435951654</v>
          </cell>
          <cell r="AF17">
            <v>29.578397422532916</v>
          </cell>
          <cell r="AG17">
            <v>19.986095402208566</v>
          </cell>
          <cell r="AH17">
            <v>21.54074928107708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26">
          <cell r="D26">
            <v>345.27549609496879</v>
          </cell>
          <cell r="E26">
            <v>249.09058867676683</v>
          </cell>
          <cell r="F26">
            <v>223.82330775813236</v>
          </cell>
          <cell r="G26">
            <v>194.46370937107784</v>
          </cell>
          <cell r="H26">
            <v>156.03793487077388</v>
          </cell>
          <cell r="I26">
            <v>128.65618069075651</v>
          </cell>
          <cell r="J26">
            <v>124.4475289815891</v>
          </cell>
          <cell r="K26">
            <v>186.92203928827504</v>
          </cell>
          <cell r="L26">
            <v>175.87914559310144</v>
          </cell>
          <cell r="N26">
            <v>137.76193614481298</v>
          </cell>
          <cell r="O26">
            <v>151.23819572376601</v>
          </cell>
          <cell r="P26">
            <v>149.926473500653</v>
          </cell>
          <cell r="R26">
            <v>341.04431803732064</v>
          </cell>
          <cell r="S26">
            <v>209.52795701736551</v>
          </cell>
          <cell r="T26">
            <v>174.06491282692187</v>
          </cell>
          <cell r="U26">
            <v>163.95736901826456</v>
          </cell>
          <cell r="V26">
            <v>143.78846028760762</v>
          </cell>
          <cell r="W26">
            <v>189.39590698877615</v>
          </cell>
          <cell r="Y26">
            <v>156.79014705027117</v>
          </cell>
          <cell r="Z26">
            <v>142.3197906321661</v>
          </cell>
          <cell r="AA26">
            <v>132.77893342435948</v>
          </cell>
          <cell r="AB26">
            <v>144.06170050481023</v>
          </cell>
          <cell r="AC26">
            <v>124.9357518537345</v>
          </cell>
          <cell r="AD26">
            <v>155.86709741225502</v>
          </cell>
          <cell r="AE26">
            <v>127.10229670651516</v>
          </cell>
          <cell r="AF26">
            <v>241.91807403035347</v>
          </cell>
          <cell r="AG26">
            <v>186.87197716591882</v>
          </cell>
          <cell r="AH26">
            <v>146.65284053914851</v>
          </cell>
        </row>
        <row r="27">
          <cell r="D27">
            <v>2598.5705182770812</v>
          </cell>
          <cell r="E27">
            <v>2202.0946270123336</v>
          </cell>
          <cell r="F27">
            <v>2000.8827190138225</v>
          </cell>
          <cell r="G27">
            <v>1836.0173740490861</v>
          </cell>
          <cell r="H27">
            <v>1824.8424741625274</v>
          </cell>
          <cell r="I27">
            <v>1662.1675979363556</v>
          </cell>
          <cell r="J27">
            <v>1394.412443200795</v>
          </cell>
          <cell r="K27">
            <v>2221.4742703395405</v>
          </cell>
          <cell r="L27">
            <v>1753.481082681574</v>
          </cell>
          <cell r="N27">
            <v>1549.7449583965279</v>
          </cell>
          <cell r="O27">
            <v>1598.0653217729309</v>
          </cell>
          <cell r="P27">
            <v>1586.9355683786175</v>
          </cell>
          <cell r="R27">
            <v>2634.6655558209141</v>
          </cell>
          <cell r="S27">
            <v>2257.7166699768009</v>
          </cell>
          <cell r="T27">
            <v>2392.3644005082442</v>
          </cell>
          <cell r="U27">
            <v>1956.8651466526194</v>
          </cell>
          <cell r="V27">
            <v>1509.0862490862023</v>
          </cell>
          <cell r="W27">
            <v>2331.4474606991321</v>
          </cell>
          <cell r="Y27">
            <v>2320.7370284101548</v>
          </cell>
          <cell r="Z27">
            <v>1909.4743445273568</v>
          </cell>
          <cell r="AA27">
            <v>1763.6988673653896</v>
          </cell>
          <cell r="AB27">
            <v>2022.7044377562349</v>
          </cell>
          <cell r="AC27">
            <v>1634.0262325284264</v>
          </cell>
          <cell r="AD27">
            <v>1905.6383641786258</v>
          </cell>
          <cell r="AE27">
            <v>1994.947077252574</v>
          </cell>
          <cell r="AF27">
            <v>2359.3876205809051</v>
          </cell>
          <cell r="AG27">
            <v>1980.2216950768448</v>
          </cell>
          <cell r="AH27">
            <v>2118.1385978372377</v>
          </cell>
        </row>
        <row r="28">
          <cell r="D28">
            <v>349.41064962416812</v>
          </cell>
          <cell r="E28">
            <v>358.21379700620167</v>
          </cell>
          <cell r="F28">
            <v>242.55879524078335</v>
          </cell>
          <cell r="G28">
            <v>276.8442752271738</v>
          </cell>
          <cell r="H28">
            <v>310.13665705593178</v>
          </cell>
          <cell r="I28">
            <v>241.78960870155345</v>
          </cell>
          <cell r="J28">
            <v>157.85628107817536</v>
          </cell>
          <cell r="K28">
            <v>411.51479879786609</v>
          </cell>
          <cell r="L28">
            <v>319.55702841773473</v>
          </cell>
          <cell r="N28">
            <v>275.31430241160649</v>
          </cell>
          <cell r="O28">
            <v>281.69160066579383</v>
          </cell>
          <cell r="P28">
            <v>236.88431221732773</v>
          </cell>
          <cell r="R28">
            <v>418.06790794446442</v>
          </cell>
          <cell r="S28">
            <v>348.90976730574374</v>
          </cell>
          <cell r="T28">
            <v>455.81488163634771</v>
          </cell>
          <cell r="U28">
            <v>299.34476870901534</v>
          </cell>
          <cell r="V28">
            <v>283.39414381152869</v>
          </cell>
          <cell r="W28">
            <v>445.15164593369326</v>
          </cell>
          <cell r="Y28">
            <v>427.29114721046687</v>
          </cell>
          <cell r="Z28">
            <v>339.30432896971161</v>
          </cell>
          <cell r="AA28">
            <v>379.32324465083389</v>
          </cell>
          <cell r="AB28">
            <v>319.48276781437113</v>
          </cell>
          <cell r="AC28">
            <v>287.05818584653554</v>
          </cell>
          <cell r="AD28">
            <v>388.43780141373645</v>
          </cell>
          <cell r="AE28">
            <v>436.21804006628668</v>
          </cell>
          <cell r="AF28">
            <v>257.58692369546554</v>
          </cell>
          <cell r="AG28">
            <v>301.33952528574599</v>
          </cell>
          <cell r="AH28">
            <v>367.63093622608903</v>
          </cell>
        </row>
        <row r="30">
          <cell r="D30">
            <v>683.99353230705128</v>
          </cell>
          <cell r="E30">
            <v>533.7213374571013</v>
          </cell>
          <cell r="F30">
            <v>546.34434936508455</v>
          </cell>
          <cell r="G30">
            <v>451.76839038870162</v>
          </cell>
          <cell r="H30">
            <v>394.07664003046369</v>
          </cell>
          <cell r="I30">
            <v>383.29698528197474</v>
          </cell>
          <cell r="J30">
            <v>364.00500653717552</v>
          </cell>
          <cell r="K30">
            <v>472.01995713056624</v>
          </cell>
          <cell r="L30">
            <v>371.00323629587473</v>
          </cell>
          <cell r="N30">
            <v>334.20962956726356</v>
          </cell>
          <cell r="O30">
            <v>369.8994284980335</v>
          </cell>
          <cell r="P30">
            <v>386.29016762366581</v>
          </cell>
          <cell r="R30">
            <v>727.29632140860713</v>
          </cell>
          <cell r="S30">
            <v>502.39429757821631</v>
          </cell>
          <cell r="T30">
            <v>469.75938648919413</v>
          </cell>
          <cell r="U30">
            <v>458.10228937734865</v>
          </cell>
          <cell r="V30">
            <v>325.66907567659325</v>
          </cell>
          <cell r="W30">
            <v>588.52229355762518</v>
          </cell>
          <cell r="Y30">
            <v>424.84009224322733</v>
          </cell>
          <cell r="Z30">
            <v>382.38542530434341</v>
          </cell>
          <cell r="AA30">
            <v>344.18580123020439</v>
          </cell>
          <cell r="AB30">
            <v>425.35506018669537</v>
          </cell>
          <cell r="AC30">
            <v>318.79618465762559</v>
          </cell>
          <cell r="AD30">
            <v>418.38297916224269</v>
          </cell>
          <cell r="AE30">
            <v>332.21508161134295</v>
          </cell>
          <cell r="AF30">
            <v>765.69720648345799</v>
          </cell>
          <cell r="AG30">
            <v>466.31286263197188</v>
          </cell>
          <cell r="AH30">
            <v>402.05769318246274</v>
          </cell>
        </row>
        <row r="31">
          <cell r="D31">
            <v>2185.1358929928456</v>
          </cell>
          <cell r="E31">
            <v>2574.8969489700012</v>
          </cell>
          <cell r="F31">
            <v>2126.5549391561503</v>
          </cell>
          <cell r="G31">
            <v>1811.6659236579371</v>
          </cell>
          <cell r="H31">
            <v>1973.9694560193018</v>
          </cell>
          <cell r="I31">
            <v>1821.1951614649729</v>
          </cell>
          <cell r="J31">
            <v>1401.9673843546825</v>
          </cell>
          <cell r="K31">
            <v>3077.6148560978904</v>
          </cell>
          <cell r="L31">
            <v>1993.4979377280451</v>
          </cell>
          <cell r="N31">
            <v>1812.3457287470012</v>
          </cell>
          <cell r="O31">
            <v>1962.6733988880453</v>
          </cell>
          <cell r="P31">
            <v>1823.1846840488399</v>
          </cell>
          <cell r="R31">
            <v>2327.6996874619367</v>
          </cell>
          <cell r="S31">
            <v>3307.449798664562</v>
          </cell>
          <cell r="T31">
            <v>2997.86648336489</v>
          </cell>
          <cell r="U31">
            <v>2895.3968509989386</v>
          </cell>
          <cell r="V31">
            <v>1804.3008825783168</v>
          </cell>
          <cell r="W31">
            <v>3222.1410328502907</v>
          </cell>
          <cell r="Y31">
            <v>2777.9868166774777</v>
          </cell>
          <cell r="Z31">
            <v>2454.6410355370158</v>
          </cell>
          <cell r="AA31">
            <v>2243.2951342239962</v>
          </cell>
          <cell r="AB31">
            <v>2514.3778506988374</v>
          </cell>
          <cell r="AC31">
            <v>2183.9003901511096</v>
          </cell>
          <cell r="AD31">
            <v>2674.0331716223536</v>
          </cell>
          <cell r="AE31">
            <v>3241.8575597713743</v>
          </cell>
          <cell r="AF31">
            <v>1981.104327891406</v>
          </cell>
          <cell r="AG31">
            <v>2217.3948511589542</v>
          </cell>
          <cell r="AH31">
            <v>2762.4077091574732</v>
          </cell>
        </row>
        <row r="32">
          <cell r="D32">
            <v>1152.0267510670476</v>
          </cell>
          <cell r="E32">
            <v>1329.360589127426</v>
          </cell>
          <cell r="F32">
            <v>1121.4119059118379</v>
          </cell>
          <cell r="G32">
            <v>975.16472052480606</v>
          </cell>
          <cell r="H32">
            <v>1101.0053673080736</v>
          </cell>
          <cell r="I32">
            <v>962.1738669104858</v>
          </cell>
          <cell r="J32">
            <v>766.83764481838546</v>
          </cell>
          <cell r="K32">
            <v>1479.9303171415493</v>
          </cell>
          <cell r="L32">
            <v>1071.3660154660079</v>
          </cell>
          <cell r="N32">
            <v>957.89766987141866</v>
          </cell>
          <cell r="O32">
            <v>1048.4369217182855</v>
          </cell>
          <cell r="P32">
            <v>988.69131647215045</v>
          </cell>
          <cell r="R32">
            <v>1226.8587173693863</v>
          </cell>
          <cell r="S32">
            <v>1588.502399453374</v>
          </cell>
          <cell r="T32">
            <v>1596.1487075153368</v>
          </cell>
          <cell r="U32">
            <v>1413.9603420631074</v>
          </cell>
          <cell r="V32">
            <v>1039.5949775393472</v>
          </cell>
          <cell r="W32">
            <v>1631.114761480638</v>
          </cell>
          <cell r="Y32">
            <v>1395.8739086589997</v>
          </cell>
          <cell r="Z32">
            <v>1296.3634688293928</v>
          </cell>
          <cell r="AA32">
            <v>1244.2399040489554</v>
          </cell>
          <cell r="AB32">
            <v>1399.5112182500509</v>
          </cell>
          <cell r="AC32">
            <v>1183.4104673722516</v>
          </cell>
          <cell r="AD32">
            <v>1454.5823296905735</v>
          </cell>
          <cell r="AE32">
            <v>1566.428593946385</v>
          </cell>
          <cell r="AF32">
            <v>979.74714129845268</v>
          </cell>
          <cell r="AG32">
            <v>1151.9017467976896</v>
          </cell>
          <cell r="AH32">
            <v>1505.6471008624603</v>
          </cell>
        </row>
        <row r="33">
          <cell r="D33">
            <v>12.441801716012387</v>
          </cell>
          <cell r="E33">
            <v>18.28785975528476</v>
          </cell>
          <cell r="F33">
            <v>17.581942713956636</v>
          </cell>
          <cell r="G33">
            <v>10.338649606934553</v>
          </cell>
          <cell r="H33">
            <v>14.239679246588029</v>
          </cell>
          <cell r="I33">
            <v>15.780675800370913</v>
          </cell>
          <cell r="J33">
            <v>7.4772732278243108</v>
          </cell>
          <cell r="K33">
            <v>15.660088918019213</v>
          </cell>
          <cell r="L33">
            <v>10.702127398870388</v>
          </cell>
          <cell r="N33">
            <v>12.207393960869309</v>
          </cell>
          <cell r="O33">
            <v>13.803973103727287</v>
          </cell>
          <cell r="P33">
            <v>12.930028054684433</v>
          </cell>
          <cell r="R33">
            <v>24.665736684181386</v>
          </cell>
          <cell r="S33">
            <v>12.980267518870088</v>
          </cell>
          <cell r="T33">
            <v>11.292943178681755</v>
          </cell>
          <cell r="U33">
            <v>12.277390948920987</v>
          </cell>
          <cell r="V33">
            <v>12.116663277557086</v>
          </cell>
          <cell r="W33">
            <v>28.106929125598619</v>
          </cell>
          <cell r="Y33">
            <v>17.235220987757511</v>
          </cell>
          <cell r="Z33">
            <v>10.537007011495799</v>
          </cell>
          <cell r="AA33">
            <v>14.533257466572925</v>
          </cell>
          <cell r="AB33">
            <v>16.784549543718079</v>
          </cell>
          <cell r="AC33">
            <v>11.331643242556975</v>
          </cell>
          <cell r="AD33">
            <v>13.195762125965935</v>
          </cell>
          <cell r="AE33">
            <v>19.050383252317953</v>
          </cell>
          <cell r="AF33">
            <v>15.243737035368561</v>
          </cell>
          <cell r="AG33">
            <v>13.220188865715794</v>
          </cell>
          <cell r="AH33">
            <v>7.3671363197338122</v>
          </cell>
        </row>
        <row r="34">
          <cell r="D34">
            <v>64.072534803675637</v>
          </cell>
          <cell r="E34">
            <v>78.145598523531845</v>
          </cell>
          <cell r="F34">
            <v>69.297558018519894</v>
          </cell>
          <cell r="G34">
            <v>61.905703383266683</v>
          </cell>
          <cell r="H34">
            <v>63.693508650541183</v>
          </cell>
          <cell r="I34">
            <v>52.669702169900425</v>
          </cell>
          <cell r="J34">
            <v>47.940622521176579</v>
          </cell>
          <cell r="K34">
            <v>80.331881756701421</v>
          </cell>
          <cell r="L34">
            <v>61.213902615345553</v>
          </cell>
          <cell r="N34">
            <v>56.352697591524084</v>
          </cell>
          <cell r="O34">
            <v>65.331784081560528</v>
          </cell>
          <cell r="P34">
            <v>67.360911375264138</v>
          </cell>
          <cell r="R34">
            <v>85.194627916753774</v>
          </cell>
          <cell r="S34">
            <v>87.262669376239728</v>
          </cell>
          <cell r="T34">
            <v>107.26061670888359</v>
          </cell>
          <cell r="U34">
            <v>77.10775622021707</v>
          </cell>
          <cell r="V34">
            <v>70.631068457287938</v>
          </cell>
          <cell r="W34">
            <v>93.075948091202633</v>
          </cell>
          <cell r="Y34">
            <v>87.419659331804908</v>
          </cell>
          <cell r="Z34">
            <v>74.993812267086597</v>
          </cell>
          <cell r="AA34">
            <v>72.352147407208307</v>
          </cell>
          <cell r="AB34">
            <v>86.467933421503204</v>
          </cell>
          <cell r="AC34">
            <v>64.739847127711982</v>
          </cell>
          <cell r="AD34">
            <v>83.8630297893624</v>
          </cell>
          <cell r="AE34">
            <v>85.278514045003647</v>
          </cell>
          <cell r="AF34">
            <v>61.203572083609401</v>
          </cell>
          <cell r="AG34">
            <v>67.209347778344025</v>
          </cell>
          <cell r="AH34">
            <v>91.007170252799312</v>
          </cell>
        </row>
        <row r="35">
          <cell r="D35">
            <v>9.8597608691520087</v>
          </cell>
          <cell r="E35">
            <v>12.595977217672763</v>
          </cell>
          <cell r="F35">
            <v>10.186350778306128</v>
          </cell>
          <cell r="G35">
            <v>8.8148885044151726</v>
          </cell>
          <cell r="H35">
            <v>11.607943202367331</v>
          </cell>
          <cell r="I35">
            <v>8.9904073944564242</v>
          </cell>
          <cell r="J35">
            <v>6.8923219014334034</v>
          </cell>
          <cell r="K35">
            <v>6.8946003748312066</v>
          </cell>
          <cell r="L35">
            <v>8.7378008881316376</v>
          </cell>
          <cell r="N35">
            <v>10.15506811449135</v>
          </cell>
          <cell r="O35">
            <v>5.5298598649232682</v>
          </cell>
          <cell r="P35">
            <v>8.2310614977758494</v>
          </cell>
          <cell r="R35">
            <v>13.475650726329942</v>
          </cell>
          <cell r="S35">
            <v>8.9159450866254399</v>
          </cell>
          <cell r="T35">
            <v>5.7720161172080449</v>
          </cell>
          <cell r="U35">
            <v>8.9954446010253815</v>
          </cell>
          <cell r="V35">
            <v>11.294296084153943</v>
          </cell>
          <cell r="W35">
            <v>13.770797260204137</v>
          </cell>
          <cell r="Y35">
            <v>9.5715185989377556</v>
          </cell>
          <cell r="Z35">
            <v>4.2474358473841667</v>
          </cell>
          <cell r="AA35">
            <v>5.1054474052532104</v>
          </cell>
          <cell r="AB35">
            <v>9.0179115334808166</v>
          </cell>
          <cell r="AC35">
            <v>5.5831809190162192</v>
          </cell>
          <cell r="AD35">
            <v>6.9990131752710631</v>
          </cell>
          <cell r="AE35">
            <v>7.8066964058698947</v>
          </cell>
          <cell r="AF35">
            <v>10.070221741121598</v>
          </cell>
          <cell r="AG35">
            <v>8.3581895308260403</v>
          </cell>
          <cell r="AH35">
            <v>3.274254745943423</v>
          </cell>
        </row>
        <row r="36">
          <cell r="D36">
            <v>30.788864420099145</v>
          </cell>
          <cell r="E36">
            <v>36.665698380580054</v>
          </cell>
          <cell r="F36">
            <v>36.633339540805238</v>
          </cell>
          <cell r="G36">
            <v>42.475656725485734</v>
          </cell>
          <cell r="H36">
            <v>36.590395382102372</v>
          </cell>
          <cell r="I36">
            <v>28.896366855915829</v>
          </cell>
          <cell r="J36">
            <v>25.866145600187494</v>
          </cell>
          <cell r="K36">
            <v>41.173558422136352</v>
          </cell>
          <cell r="L36">
            <v>35.779035812203531</v>
          </cell>
          <cell r="N36">
            <v>33.685144881795559</v>
          </cell>
          <cell r="O36">
            <v>26.995056379064387</v>
          </cell>
          <cell r="P36">
            <v>29.283011181008732</v>
          </cell>
          <cell r="R36">
            <v>44.470875571534172</v>
          </cell>
          <cell r="S36">
            <v>34.8866970173301</v>
          </cell>
          <cell r="T36">
            <v>36.508126529175563</v>
          </cell>
          <cell r="U36">
            <v>25.585192475825881</v>
          </cell>
          <cell r="V36">
            <v>31.785876473228587</v>
          </cell>
          <cell r="W36">
            <v>53.953332157252987</v>
          </cell>
          <cell r="Y36">
            <v>24.972882109344468</v>
          </cell>
          <cell r="Z36">
            <v>32.950595390009376</v>
          </cell>
          <cell r="AA36">
            <v>40.31273371016399</v>
          </cell>
          <cell r="AB36">
            <v>33.592825667534271</v>
          </cell>
          <cell r="AC36">
            <v>30.743575502579915</v>
          </cell>
          <cell r="AD36">
            <v>38.622439953146603</v>
          </cell>
          <cell r="AE36">
            <v>40.074601639305421</v>
          </cell>
          <cell r="AF36">
            <v>27.625745881875723</v>
          </cell>
          <cell r="AG36">
            <v>19.913123784710997</v>
          </cell>
          <cell r="AH36">
            <v>37.530139317971951</v>
          </cell>
        </row>
        <row r="37">
          <cell r="D37">
            <v>35.227276190897854</v>
          </cell>
          <cell r="E37">
            <v>36.689840085866372</v>
          </cell>
          <cell r="F37">
            <v>39.854659958043271</v>
          </cell>
          <cell r="G37">
            <v>39.045537223714035</v>
          </cell>
          <cell r="H37">
            <v>30.160825616470362</v>
          </cell>
          <cell r="I37">
            <v>29.075713384477318</v>
          </cell>
          <cell r="J37">
            <v>22.448565556625226</v>
          </cell>
          <cell r="K37">
            <v>32.121235871453742</v>
          </cell>
          <cell r="L37">
            <v>31.617902252524701</v>
          </cell>
          <cell r="N37">
            <v>33.126708017000304</v>
          </cell>
          <cell r="O37">
            <v>33.789164289731552</v>
          </cell>
          <cell r="P37">
            <v>33.014645682836388</v>
          </cell>
          <cell r="R37">
            <v>19.985067063375897</v>
          </cell>
          <cell r="S37">
            <v>17.950508485460109</v>
          </cell>
          <cell r="T37">
            <v>11.589925321203522</v>
          </cell>
          <cell r="U37">
            <v>17.229721618908059</v>
          </cell>
          <cell r="V37">
            <v>15.007624552431412</v>
          </cell>
          <cell r="W37">
            <v>17.813952916873706</v>
          </cell>
          <cell r="Y37">
            <v>13.145167677914744</v>
          </cell>
          <cell r="Z37">
            <v>12.14854425014371</v>
          </cell>
          <cell r="AA37">
            <v>11.380620442247549</v>
          </cell>
          <cell r="AB37">
            <v>17.290832665419686</v>
          </cell>
          <cell r="AC37">
            <v>13.683075523883103</v>
          </cell>
          <cell r="AD37">
            <v>14.422006524653773</v>
          </cell>
          <cell r="AE37">
            <v>14.113895686980776</v>
          </cell>
          <cell r="AF37">
            <v>12.059093690858974</v>
          </cell>
          <cell r="AG37">
            <v>13.214201044910617</v>
          </cell>
          <cell r="AH37">
            <v>10.318843585619815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D40">
            <v>18.885539583662471</v>
          </cell>
          <cell r="E40">
            <v>24.415487667911986</v>
          </cell>
          <cell r="F40">
            <v>21.402100531563804</v>
          </cell>
          <cell r="G40">
            <v>24.671261928458215</v>
          </cell>
          <cell r="H40">
            <v>24.813621749923005</v>
          </cell>
          <cell r="I40">
            <v>18.505020046663233</v>
          </cell>
          <cell r="J40">
            <v>15.06544560221386</v>
          </cell>
          <cell r="K40">
            <v>23.636965458227806</v>
          </cell>
          <cell r="L40">
            <v>17.389217697588151</v>
          </cell>
          <cell r="N40">
            <v>24.587085414918448</v>
          </cell>
          <cell r="O40">
            <v>19.134947357647459</v>
          </cell>
          <cell r="P40">
            <v>17.163954224771171</v>
          </cell>
          <cell r="R40">
            <v>31.619350145586569</v>
          </cell>
          <cell r="S40">
            <v>22.676462816379399</v>
          </cell>
          <cell r="T40">
            <v>24.181725613482815</v>
          </cell>
          <cell r="U40">
            <v>22.831174075129514</v>
          </cell>
          <cell r="V40">
            <v>23.3990604418122</v>
          </cell>
          <cell r="W40">
            <v>34.304900975396357</v>
          </cell>
          <cell r="Y40">
            <v>17.718839458090109</v>
          </cell>
          <cell r="Z40">
            <v>18.198194248795215</v>
          </cell>
          <cell r="AA40">
            <v>31.057220768242424</v>
          </cell>
          <cell r="AB40">
            <v>28.680621905856913</v>
          </cell>
          <cell r="AC40">
            <v>16.909031674660966</v>
          </cell>
          <cell r="AD40">
            <v>22.518826733780696</v>
          </cell>
          <cell r="AE40">
            <v>26.652880877635983</v>
          </cell>
          <cell r="AF40">
            <v>20.7519063970432</v>
          </cell>
          <cell r="AG40">
            <v>19.952136256648778</v>
          </cell>
          <cell r="AH40">
            <v>18.805921858918683</v>
          </cell>
        </row>
        <row r="48">
          <cell r="C48">
            <v>15983.893040257102</v>
          </cell>
          <cell r="D48">
            <v>22126.45966359946</v>
          </cell>
          <cell r="E48">
            <v>18504.432435882205</v>
          </cell>
          <cell r="F48">
            <v>19530.342944723161</v>
          </cell>
          <cell r="G48">
            <v>21554.844758062798</v>
          </cell>
          <cell r="H48">
            <v>21199.130363140379</v>
          </cell>
          <cell r="I48">
            <v>16761.633304068186</v>
          </cell>
          <cell r="J48">
            <v>14367.783988863261</v>
          </cell>
          <cell r="K48">
            <v>15984.547591865688</v>
          </cell>
          <cell r="L48">
            <v>19839.073221078525</v>
          </cell>
          <cell r="N48">
            <v>18433.136954770162</v>
          </cell>
          <cell r="O48">
            <v>18185.031714083361</v>
          </cell>
          <cell r="P48">
            <v>19159.709436170433</v>
          </cell>
          <cell r="Q48">
            <v>16025.47220389719</v>
          </cell>
          <cell r="R48">
            <v>26792.381683413227</v>
          </cell>
          <cell r="S48">
            <v>17361.958439408383</v>
          </cell>
          <cell r="T48">
            <v>19083.82707016026</v>
          </cell>
          <cell r="V48">
            <v>19750.487226191406</v>
          </cell>
          <cell r="W48">
            <v>18836.333174095573</v>
          </cell>
          <cell r="Y48">
            <v>20539.599193889146</v>
          </cell>
          <cell r="Z48">
            <v>20068.040087147372</v>
          </cell>
          <cell r="AA48">
            <v>20151.143894470679</v>
          </cell>
          <cell r="AB48">
            <v>19749.877988679727</v>
          </cell>
          <cell r="AC48">
            <v>18566.8577476727</v>
          </cell>
          <cell r="AD48">
            <v>17310.759750458827</v>
          </cell>
          <cell r="AE48">
            <v>17372.491673212924</v>
          </cell>
          <cell r="AF48">
            <v>14525.977623986055</v>
          </cell>
          <cell r="AG48">
            <v>16213.121731699917</v>
          </cell>
          <cell r="AH48">
            <v>16822.293831069346</v>
          </cell>
        </row>
        <row r="49">
          <cell r="C49">
            <v>342716.44469770876</v>
          </cell>
          <cell r="D49">
            <v>453691.389333895</v>
          </cell>
          <cell r="E49">
            <v>439104.94001574995</v>
          </cell>
          <cell r="F49">
            <v>456140.12974338472</v>
          </cell>
          <cell r="G49">
            <v>498089.69076856342</v>
          </cell>
          <cell r="H49">
            <v>409576.52592916484</v>
          </cell>
          <cell r="I49">
            <v>414485.30321693735</v>
          </cell>
          <cell r="J49">
            <v>335504.51220970839</v>
          </cell>
          <cell r="K49">
            <v>402240.96089809068</v>
          </cell>
          <cell r="L49">
            <v>424033.59209550871</v>
          </cell>
          <cell r="N49">
            <v>392071.12683349801</v>
          </cell>
          <cell r="O49">
            <v>360569.78017240542</v>
          </cell>
          <cell r="P49">
            <v>324408.44444769266</v>
          </cell>
          <cell r="Q49">
            <v>368525.75556790526</v>
          </cell>
          <cell r="R49">
            <v>510083.20456079039</v>
          </cell>
          <cell r="S49">
            <v>363188.34618347487</v>
          </cell>
          <cell r="T49">
            <v>371596.31395200698</v>
          </cell>
          <cell r="V49">
            <v>357980.01906783198</v>
          </cell>
          <cell r="W49">
            <v>415402.25959386094</v>
          </cell>
          <cell r="Y49">
            <v>401477.04225090629</v>
          </cell>
          <cell r="Z49">
            <v>402300.47761179297</v>
          </cell>
          <cell r="AA49">
            <v>369247.21024481341</v>
          </cell>
          <cell r="AB49">
            <v>434040.19497669366</v>
          </cell>
          <cell r="AC49">
            <v>390546.81706079794</v>
          </cell>
          <cell r="AD49">
            <v>390715.12388238648</v>
          </cell>
          <cell r="AE49">
            <v>373113.89820290502</v>
          </cell>
          <cell r="AF49">
            <v>335674.90473485785</v>
          </cell>
          <cell r="AG49">
            <v>344202.07648339117</v>
          </cell>
          <cell r="AH49">
            <v>338680.89850067697</v>
          </cell>
        </row>
        <row r="50">
          <cell r="C50">
            <v>70545.381689448172</v>
          </cell>
          <cell r="D50">
            <v>86647.085057619202</v>
          </cell>
          <cell r="E50">
            <v>92211.557653697266</v>
          </cell>
          <cell r="F50">
            <v>66386.998626858476</v>
          </cell>
          <cell r="G50">
            <v>98464.971945702375</v>
          </cell>
          <cell r="H50">
            <v>83828.129674162425</v>
          </cell>
          <cell r="I50">
            <v>71612.240484671289</v>
          </cell>
          <cell r="J50">
            <v>47187.691185837532</v>
          </cell>
          <cell r="K50">
            <v>82431.377385922431</v>
          </cell>
          <cell r="L50">
            <v>91580.800431569965</v>
          </cell>
          <cell r="N50">
            <v>83703.33818612789</v>
          </cell>
          <cell r="O50">
            <v>74326.987912022014</v>
          </cell>
          <cell r="P50">
            <v>62844.578484311569</v>
          </cell>
          <cell r="Q50">
            <v>69026.256394692915</v>
          </cell>
          <cell r="R50">
            <v>113772.56516221349</v>
          </cell>
          <cell r="S50">
            <v>66239.769827345997</v>
          </cell>
          <cell r="T50">
            <v>77647.283421417655</v>
          </cell>
          <cell r="V50">
            <v>79230.059078832535</v>
          </cell>
          <cell r="W50">
            <v>98891.18820435449</v>
          </cell>
          <cell r="Y50">
            <v>95586.232359257308</v>
          </cell>
          <cell r="Z50">
            <v>81757.773229525876</v>
          </cell>
          <cell r="AA50">
            <v>88152.778791833902</v>
          </cell>
          <cell r="AB50">
            <v>80597.56190836092</v>
          </cell>
          <cell r="AC50">
            <v>72829.107859844327</v>
          </cell>
          <cell r="AD50">
            <v>87732.416240078339</v>
          </cell>
          <cell r="AE50">
            <v>82371.309511444764</v>
          </cell>
          <cell r="AF50">
            <v>57468.171114511999</v>
          </cell>
          <cell r="AG50">
            <v>74926.514285245707</v>
          </cell>
          <cell r="AH50">
            <v>63324.720519355971</v>
          </cell>
        </row>
        <row r="52">
          <cell r="C52">
            <v>58257.033707595816</v>
          </cell>
          <cell r="D52">
            <v>75892.746237784959</v>
          </cell>
          <cell r="E52">
            <v>72737.284332268173</v>
          </cell>
          <cell r="F52">
            <v>98995.893175611287</v>
          </cell>
          <cell r="G52">
            <v>91946.927630507533</v>
          </cell>
          <cell r="H52">
            <v>72763.072119920864</v>
          </cell>
          <cell r="I52">
            <v>76532.790282482645</v>
          </cell>
          <cell r="J52">
            <v>77223.972643824643</v>
          </cell>
          <cell r="K52">
            <v>65444.915826186378</v>
          </cell>
          <cell r="L52">
            <v>71181.378317939598</v>
          </cell>
          <cell r="N52">
            <v>68620.403237834966</v>
          </cell>
          <cell r="O52">
            <v>63600.822703001963</v>
          </cell>
          <cell r="P52">
            <v>67271.35037215575</v>
          </cell>
          <cell r="Q52">
            <v>67720.816066355706</v>
          </cell>
          <cell r="R52">
            <v>87682.946625924684</v>
          </cell>
          <cell r="S52">
            <v>71642.643473878576</v>
          </cell>
          <cell r="T52">
            <v>68026.645671621096</v>
          </cell>
          <cell r="V52">
            <v>64061.994385171784</v>
          </cell>
          <cell r="W52">
            <v>73237.434474089328</v>
          </cell>
          <cell r="Y52">
            <v>65861.63721569888</v>
          </cell>
          <cell r="Z52">
            <v>70855.072986010957</v>
          </cell>
          <cell r="AA52">
            <v>59772.018846339306</v>
          </cell>
          <cell r="AB52">
            <v>78683.986086738165</v>
          </cell>
          <cell r="AC52">
            <v>71632.437654012188</v>
          </cell>
          <cell r="AD52">
            <v>64159.974386141541</v>
          </cell>
          <cell r="AE52">
            <v>60125.243674208999</v>
          </cell>
          <cell r="AF52">
            <v>62084.764842450124</v>
          </cell>
          <cell r="AG52">
            <v>56632.890160381983</v>
          </cell>
          <cell r="AH52">
            <v>59796.315693701843</v>
          </cell>
        </row>
        <row r="53">
          <cell r="C53">
            <v>550451.46793123928</v>
          </cell>
          <cell r="D53">
            <v>734253.35949200846</v>
          </cell>
          <cell r="E53">
            <v>813409.12576769001</v>
          </cell>
          <cell r="F53">
            <v>746980.97624986456</v>
          </cell>
          <cell r="G53">
            <v>787984.44604913017</v>
          </cell>
          <cell r="H53">
            <v>626508.04158434493</v>
          </cell>
          <cell r="I53">
            <v>680991.23545773083</v>
          </cell>
          <cell r="J53">
            <v>529024.38350547338</v>
          </cell>
          <cell r="K53">
            <v>731921.23488938168</v>
          </cell>
          <cell r="L53">
            <v>682188.07740615855</v>
          </cell>
          <cell r="N53">
            <v>635193.24063408677</v>
          </cell>
          <cell r="O53">
            <v>669366.41455681785</v>
          </cell>
          <cell r="P53">
            <v>613892.62448625849</v>
          </cell>
          <cell r="Q53">
            <v>623333.75546333054</v>
          </cell>
          <cell r="R53">
            <v>883437.83195760113</v>
          </cell>
          <cell r="S53">
            <v>669679.17060658871</v>
          </cell>
          <cell r="T53">
            <v>603842.56449762941</v>
          </cell>
          <cell r="V53">
            <v>603616.70003735204</v>
          </cell>
          <cell r="W53">
            <v>808352.21903505735</v>
          </cell>
          <cell r="Y53">
            <v>692075.94985795242</v>
          </cell>
          <cell r="Z53">
            <v>727650.66211683501</v>
          </cell>
          <cell r="AA53">
            <v>623413.20313622372</v>
          </cell>
          <cell r="AB53">
            <v>691518.77208069665</v>
          </cell>
          <cell r="AC53">
            <v>672973.21996046719</v>
          </cell>
          <cell r="AD53">
            <v>694386.59836136783</v>
          </cell>
          <cell r="AE53">
            <v>730925.70190511609</v>
          </cell>
          <cell r="AF53">
            <v>564754.66147079773</v>
          </cell>
          <cell r="AG53">
            <v>624727.90397795488</v>
          </cell>
          <cell r="AH53">
            <v>552686.94405773701</v>
          </cell>
        </row>
        <row r="54">
          <cell r="C54">
            <v>219089.66288732761</v>
          </cell>
          <cell r="D54">
            <v>301938.64191742789</v>
          </cell>
          <cell r="E54">
            <v>319549.28173651383</v>
          </cell>
          <cell r="F54">
            <v>302954.8298371603</v>
          </cell>
          <cell r="G54">
            <v>320521.92227116256</v>
          </cell>
          <cell r="H54">
            <v>272556.74109853239</v>
          </cell>
          <cell r="I54">
            <v>272887.23128208827</v>
          </cell>
          <cell r="J54">
            <v>212808.57543682333</v>
          </cell>
          <cell r="K54">
            <v>270166.80659175786</v>
          </cell>
          <cell r="L54">
            <v>275579.90056988929</v>
          </cell>
          <cell r="N54">
            <v>264127.36492401978</v>
          </cell>
          <cell r="O54">
            <v>257679.49328789854</v>
          </cell>
          <cell r="P54">
            <v>249270.67737718328</v>
          </cell>
          <cell r="Q54">
            <v>249477.50905527483</v>
          </cell>
          <cell r="R54">
            <v>366392.6353083076</v>
          </cell>
          <cell r="S54">
            <v>258979.04809704091</v>
          </cell>
          <cell r="T54">
            <v>254342.78332526638</v>
          </cell>
          <cell r="V54">
            <v>252579.79208953524</v>
          </cell>
          <cell r="W54">
            <v>302522.59960095881</v>
          </cell>
          <cell r="Y54">
            <v>278669.88275874825</v>
          </cell>
          <cell r="Z54">
            <v>291926.19678583357</v>
          </cell>
          <cell r="AA54">
            <v>251645.84027103239</v>
          </cell>
          <cell r="AB54">
            <v>290651.45143265772</v>
          </cell>
          <cell r="AC54">
            <v>276652.2234957522</v>
          </cell>
          <cell r="AD54">
            <v>281512.56244903337</v>
          </cell>
          <cell r="AE54">
            <v>279738.01053054782</v>
          </cell>
          <cell r="AF54">
            <v>225787.79729987442</v>
          </cell>
          <cell r="AG54">
            <v>232968.72908281436</v>
          </cell>
          <cell r="AH54">
            <v>237229.74692024378</v>
          </cell>
        </row>
        <row r="55">
          <cell r="C55">
            <v>810.75321612969287</v>
          </cell>
          <cell r="D55">
            <v>806.92142899930502</v>
          </cell>
          <cell r="E55">
            <v>892.98372209699824</v>
          </cell>
          <cell r="F55">
            <v>889.19352648294705</v>
          </cell>
          <cell r="G55">
            <v>1075.1006924051776</v>
          </cell>
          <cell r="H55">
            <v>707.55824688600501</v>
          </cell>
          <cell r="I55">
            <v>952.37565165101353</v>
          </cell>
          <cell r="J55">
            <v>779.30662144501991</v>
          </cell>
          <cell r="K55">
            <v>870.33732906406738</v>
          </cell>
          <cell r="L55">
            <v>698.97265483833553</v>
          </cell>
          <cell r="N55">
            <v>760.78475172384015</v>
          </cell>
          <cell r="O55">
            <v>840.66618952936142</v>
          </cell>
          <cell r="P55">
            <v>905.91420766970805</v>
          </cell>
          <cell r="Q55">
            <v>703.45419905694689</v>
          </cell>
          <cell r="R55">
            <v>1092.7754528368769</v>
          </cell>
          <cell r="S55">
            <v>816.60194714178033</v>
          </cell>
          <cell r="T55">
            <v>796.51323068841998</v>
          </cell>
          <cell r="V55">
            <v>822.1459588467784</v>
          </cell>
          <cell r="W55">
            <v>974.28255123151075</v>
          </cell>
          <cell r="Y55">
            <v>796.97888321658763</v>
          </cell>
          <cell r="Z55">
            <v>906.08480676867759</v>
          </cell>
          <cell r="AA55">
            <v>712.3986127324996</v>
          </cell>
          <cell r="AB55">
            <v>770.00261064911206</v>
          </cell>
          <cell r="AC55">
            <v>820.44973614594414</v>
          </cell>
          <cell r="AD55">
            <v>925.68017496858454</v>
          </cell>
          <cell r="AE55">
            <v>859.40706302530168</v>
          </cell>
          <cell r="AF55">
            <v>776.19246849250862</v>
          </cell>
          <cell r="AG55">
            <v>645.68420813690284</v>
          </cell>
          <cell r="AH55">
            <v>597.14107649963682</v>
          </cell>
        </row>
        <row r="56">
          <cell r="C56">
            <v>18303.957849674807</v>
          </cell>
          <cell r="D56">
            <v>23751.370606998717</v>
          </cell>
          <cell r="E56">
            <v>24206.20141868003</v>
          </cell>
          <cell r="F56">
            <v>25442.089306461723</v>
          </cell>
          <cell r="G56">
            <v>27501.996484876006</v>
          </cell>
          <cell r="H56">
            <v>24145.395943342322</v>
          </cell>
          <cell r="I56">
            <v>21872.751167963928</v>
          </cell>
          <cell r="J56">
            <v>19386.974961069416</v>
          </cell>
          <cell r="K56">
            <v>21273.570398837372</v>
          </cell>
          <cell r="L56">
            <v>23078.817858439248</v>
          </cell>
          <cell r="N56">
            <v>23149.566335513067</v>
          </cell>
          <cell r="O56">
            <v>23589.1991854892</v>
          </cell>
          <cell r="P56">
            <v>24063.285045394816</v>
          </cell>
          <cell r="Q56">
            <v>20399.186615486626</v>
          </cell>
          <cell r="R56">
            <v>32211.46239242308</v>
          </cell>
          <cell r="S56">
            <v>22345.106394631588</v>
          </cell>
          <cell r="T56">
            <v>23935.716366380027</v>
          </cell>
          <cell r="V56">
            <v>22929.557077946727</v>
          </cell>
          <cell r="W56">
            <v>24549.122901612616</v>
          </cell>
          <cell r="Y56">
            <v>25851.793010683126</v>
          </cell>
          <cell r="Z56">
            <v>23999.398661518171</v>
          </cell>
          <cell r="AA56">
            <v>21958.794538061287</v>
          </cell>
          <cell r="AB56">
            <v>25700.913510696439</v>
          </cell>
          <cell r="AC56">
            <v>22977.273751063916</v>
          </cell>
          <cell r="AD56">
            <v>22794.47531131659</v>
          </cell>
          <cell r="AE56">
            <v>23546.891036954956</v>
          </cell>
          <cell r="AF56">
            <v>19254.676454929027</v>
          </cell>
          <cell r="AG56">
            <v>20013.90067392635</v>
          </cell>
          <cell r="AH56">
            <v>22495.260619112501</v>
          </cell>
        </row>
        <row r="57">
          <cell r="C57">
            <v>521.76296380543761</v>
          </cell>
          <cell r="D57">
            <v>543.48870672817884</v>
          </cell>
          <cell r="E57">
            <v>550.76140799609129</v>
          </cell>
          <cell r="F57">
            <v>289.77018176979959</v>
          </cell>
          <cell r="G57">
            <v>509.97127566985955</v>
          </cell>
          <cell r="H57">
            <v>482.51381386635023</v>
          </cell>
          <cell r="I57">
            <v>538.63876199853712</v>
          </cell>
          <cell r="J57">
            <v>505.6360819417589</v>
          </cell>
          <cell r="K57">
            <v>907.59168945092222</v>
          </cell>
          <cell r="L57">
            <v>490.89886990691178</v>
          </cell>
          <cell r="N57">
            <v>507.15573423432994</v>
          </cell>
          <cell r="O57">
            <v>320.57640216428393</v>
          </cell>
          <cell r="P57">
            <v>467.96423828541242</v>
          </cell>
          <cell r="Q57">
            <v>397.05568498568596</v>
          </cell>
          <cell r="R57">
            <v>729.85502769640118</v>
          </cell>
          <cell r="S57">
            <v>352.42393401654255</v>
          </cell>
          <cell r="T57">
            <v>395.30543976805393</v>
          </cell>
          <cell r="V57">
            <v>385.72093169912307</v>
          </cell>
          <cell r="W57">
            <v>631.95908749323632</v>
          </cell>
          <cell r="Y57">
            <v>580.25343128565783</v>
          </cell>
          <cell r="Z57">
            <v>657.46167209552857</v>
          </cell>
          <cell r="AA57">
            <v>403.31850081099589</v>
          </cell>
          <cell r="AB57">
            <v>407.69139876766002</v>
          </cell>
          <cell r="AC57">
            <v>332.48698613970907</v>
          </cell>
          <cell r="AD57">
            <v>537.99641074004455</v>
          </cell>
          <cell r="AE57">
            <v>618.10975406063756</v>
          </cell>
          <cell r="AF57">
            <v>284.68189391297676</v>
          </cell>
          <cell r="AG57">
            <v>319.59568296540067</v>
          </cell>
          <cell r="AH57">
            <v>356.39645136005072</v>
          </cell>
        </row>
        <row r="58">
          <cell r="C58">
            <v>2117.2566978747336</v>
          </cell>
          <cell r="D58">
            <v>2682.5405553434634</v>
          </cell>
          <cell r="E58">
            <v>1878.6854572652658</v>
          </cell>
          <cell r="F58">
            <v>2715.9886113802395</v>
          </cell>
          <cell r="G58">
            <v>3476.1095533890661</v>
          </cell>
          <cell r="H58">
            <v>3513.4075718417671</v>
          </cell>
          <cell r="I58">
            <v>2271.9408458913404</v>
          </cell>
          <cell r="J58">
            <v>2659.1851676765014</v>
          </cell>
          <cell r="K58">
            <v>2370.8836169592246</v>
          </cell>
          <cell r="L58">
            <v>3043.3951440122264</v>
          </cell>
          <cell r="N58">
            <v>2995.4718069223973</v>
          </cell>
          <cell r="O58">
            <v>2269.2940084658253</v>
          </cell>
          <cell r="P58">
            <v>2366.7780132703574</v>
          </cell>
          <cell r="Q58">
            <v>1870.7708943580024</v>
          </cell>
          <cell r="R58">
            <v>3972.7865572863179</v>
          </cell>
          <cell r="S58">
            <v>1754.4291585353074</v>
          </cell>
          <cell r="T58">
            <v>2993.365443155617</v>
          </cell>
          <cell r="V58">
            <v>2985.4051582874017</v>
          </cell>
          <cell r="W58">
            <v>2575.4668867502442</v>
          </cell>
          <cell r="Y58">
            <v>3130.4725298218223</v>
          </cell>
          <cell r="Z58">
            <v>2589.8968379225471</v>
          </cell>
          <cell r="AA58">
            <v>3346.8418251782323</v>
          </cell>
          <cell r="AB58">
            <v>3220.0786335802222</v>
          </cell>
          <cell r="AC58">
            <v>2258.215631035257</v>
          </cell>
          <cell r="AD58">
            <v>2588.8182498817869</v>
          </cell>
          <cell r="AE58">
            <v>1990.5861032631501</v>
          </cell>
          <cell r="AF58">
            <v>1917.8989897668664</v>
          </cell>
          <cell r="AG58">
            <v>2106.6394243700051</v>
          </cell>
          <cell r="AH58">
            <v>2981.9313954314457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C60">
            <v>361.87348831444632</v>
          </cell>
          <cell r="D60">
            <v>605.2399128490506</v>
          </cell>
          <cell r="E60">
            <v>592.27933267065839</v>
          </cell>
          <cell r="F60">
            <v>305.27525641585868</v>
          </cell>
          <cell r="G60">
            <v>621.6006935402545</v>
          </cell>
          <cell r="H60">
            <v>703.57338918407231</v>
          </cell>
          <cell r="I60">
            <v>480.92070989647277</v>
          </cell>
          <cell r="J60">
            <v>478.05290682398277</v>
          </cell>
          <cell r="K60">
            <v>456.45235042417545</v>
          </cell>
          <cell r="L60">
            <v>728.27745007000965</v>
          </cell>
          <cell r="N60">
            <v>375.22144448608515</v>
          </cell>
          <cell r="O60">
            <v>336.72904742702889</v>
          </cell>
          <cell r="P60">
            <v>303.1751043975828</v>
          </cell>
          <cell r="Q60">
            <v>324.95794735121683</v>
          </cell>
          <cell r="R60">
            <v>575.65859581486575</v>
          </cell>
          <cell r="S60">
            <v>393.24564942487393</v>
          </cell>
          <cell r="T60">
            <v>444.23238766012707</v>
          </cell>
          <cell r="V60">
            <v>527.37085128464525</v>
          </cell>
          <cell r="W60">
            <v>517.08411499739077</v>
          </cell>
          <cell r="Y60">
            <v>540.27171140775215</v>
          </cell>
          <cell r="Z60">
            <v>698.58926257687438</v>
          </cell>
          <cell r="AA60">
            <v>444.00000163714765</v>
          </cell>
          <cell r="AB60">
            <v>576.88664703670327</v>
          </cell>
          <cell r="AC60">
            <v>301.76321078356773</v>
          </cell>
          <cell r="AD60">
            <v>540.72031289888798</v>
          </cell>
          <cell r="AE60">
            <v>351.8487070414651</v>
          </cell>
          <cell r="AF60">
            <v>318.77003201203178</v>
          </cell>
          <cell r="AG60">
            <v>289.84140237498065</v>
          </cell>
          <cell r="AH60">
            <v>452.26464140269422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C62">
            <v>1350.8242913470951</v>
          </cell>
          <cell r="D62">
            <v>1901.5773268959508</v>
          </cell>
          <cell r="E62">
            <v>1543.5069560702352</v>
          </cell>
          <cell r="F62">
            <v>1805.0683109070828</v>
          </cell>
          <cell r="G62">
            <v>2598.6837123798045</v>
          </cell>
          <cell r="H62">
            <v>2033.4972865227553</v>
          </cell>
          <cell r="I62">
            <v>1430.263350276261</v>
          </cell>
          <cell r="J62">
            <v>1755.9811906295718</v>
          </cell>
          <cell r="K62">
            <v>1653.6596287911159</v>
          </cell>
          <cell r="L62">
            <v>2185.5778618323097</v>
          </cell>
          <cell r="N62">
            <v>2056.2024250304057</v>
          </cell>
          <cell r="O62">
            <v>1837.904182326728</v>
          </cell>
          <cell r="P62">
            <v>1846.3602156600232</v>
          </cell>
          <cell r="Q62">
            <v>1364.9881060160506</v>
          </cell>
          <cell r="R62">
            <v>3020.9556290749151</v>
          </cell>
          <cell r="S62">
            <v>1029.754438568644</v>
          </cell>
          <cell r="T62">
            <v>2170.9747097319405</v>
          </cell>
          <cell r="V62">
            <v>2349.5294844502323</v>
          </cell>
          <cell r="W62">
            <v>1320.1815270780339</v>
          </cell>
          <cell r="Y62">
            <v>2376.4412572904462</v>
          </cell>
          <cell r="Z62">
            <v>1971.5862742405359</v>
          </cell>
          <cell r="AA62">
            <v>2310.7417556479049</v>
          </cell>
          <cell r="AB62">
            <v>1925.1117776778906</v>
          </cell>
          <cell r="AC62">
            <v>1647.9372541083903</v>
          </cell>
          <cell r="AD62">
            <v>1801.3170084845694</v>
          </cell>
          <cell r="AE62">
            <v>1628.5985784335385</v>
          </cell>
          <cell r="AF62">
            <v>1227.2136633752814</v>
          </cell>
          <cell r="AG62">
            <v>1451.9921465893242</v>
          </cell>
          <cell r="AH62">
            <v>1858.0884699355381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 Venn Diagram (DOWN)"/>
      <sheetName val="R Venn Diagram (UP)"/>
      <sheetName val="R Liver - TAG + DAG PUFA"/>
      <sheetName val="R Liver - TAG"/>
      <sheetName val="R Liver - TAG (ordered)"/>
      <sheetName val="R Liver - DAG"/>
      <sheetName val="R Liver - DAG (ordered)"/>
      <sheetName val="R Liver - Ceramide"/>
      <sheetName val="R Liver - Ceramide (ordered)"/>
      <sheetName val="Liver - GC Results (nmol g)"/>
      <sheetName val="Liver - GC Results (mmol kg)"/>
      <sheetName val="Liver - TAG"/>
      <sheetName val="Liver - DAG"/>
      <sheetName val="Liver - Ceram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C4">
            <v>19.506636656745215</v>
          </cell>
          <cell r="D4">
            <v>17.327072355453698</v>
          </cell>
          <cell r="E4">
            <v>19.061157044629056</v>
          </cell>
          <cell r="G4">
            <v>16.529372149404455</v>
          </cell>
          <cell r="H4">
            <v>19.42891750890518</v>
          </cell>
          <cell r="I4">
            <v>19.314759297986271</v>
          </cell>
          <cell r="J4">
            <v>19.117053858265518</v>
          </cell>
          <cell r="K4">
            <v>22.74337963020977</v>
          </cell>
          <cell r="L4">
            <v>20.430412195534974</v>
          </cell>
          <cell r="N4">
            <v>19.333415029593542</v>
          </cell>
          <cell r="O4">
            <v>17.813436101996256</v>
          </cell>
          <cell r="P4">
            <v>20.34121548122145</v>
          </cell>
          <cell r="Q4">
            <v>21.277661414481173</v>
          </cell>
          <cell r="R4">
            <v>12.474150410842956</v>
          </cell>
          <cell r="S4">
            <v>16.591026211649258</v>
          </cell>
          <cell r="T4">
            <v>18.256950781033186</v>
          </cell>
          <cell r="U4">
            <v>14.542202955162324</v>
          </cell>
          <cell r="V4">
            <v>25.351609343793914</v>
          </cell>
          <cell r="W4">
            <v>18.867399888088876</v>
          </cell>
          <cell r="Y4">
            <v>11.850105938411239</v>
          </cell>
          <cell r="Z4">
            <v>20.692381391534308</v>
          </cell>
          <cell r="AA4">
            <v>17.922329484729982</v>
          </cell>
          <cell r="AB4">
            <v>24.199082650972812</v>
          </cell>
          <cell r="AC4">
            <v>12.900450558549142</v>
          </cell>
          <cell r="AD4">
            <v>20.420204977767142</v>
          </cell>
          <cell r="AE4">
            <v>21.105651795267566</v>
          </cell>
          <cell r="AF4">
            <v>15.627855635514955</v>
          </cell>
          <cell r="AG4">
            <v>16.061138141413586</v>
          </cell>
          <cell r="AH4">
            <v>16.878588736091306</v>
          </cell>
        </row>
        <row r="6">
          <cell r="C6">
            <v>157.31117306876337</v>
          </cell>
          <cell r="D6">
            <v>162.20903309940689</v>
          </cell>
          <cell r="E6">
            <v>143.77119082842273</v>
          </cell>
          <cell r="G6">
            <v>158.9542280096087</v>
          </cell>
          <cell r="H6">
            <v>211.25119834893471</v>
          </cell>
          <cell r="I6">
            <v>186.23002026408358</v>
          </cell>
          <cell r="J6">
            <v>222.41749656499499</v>
          </cell>
          <cell r="K6">
            <v>240.71151599487536</v>
          </cell>
          <cell r="L6">
            <v>225.88642187976001</v>
          </cell>
          <cell r="N6">
            <v>222.251607083859</v>
          </cell>
          <cell r="O6">
            <v>236.61467201867612</v>
          </cell>
          <cell r="P6">
            <v>192.0783739525092</v>
          </cell>
          <cell r="Q6">
            <v>178.75004616850484</v>
          </cell>
          <cell r="R6">
            <v>112.39403697483999</v>
          </cell>
          <cell r="S6">
            <v>168.07322072934375</v>
          </cell>
          <cell r="T6">
            <v>189.16911548906839</v>
          </cell>
          <cell r="U6">
            <v>140.41177008735224</v>
          </cell>
          <cell r="V6">
            <v>253.89494217435072</v>
          </cell>
          <cell r="W6">
            <v>220.53693570412051</v>
          </cell>
          <cell r="Y6">
            <v>131.83579086923027</v>
          </cell>
          <cell r="Z6">
            <v>173.28588117056421</v>
          </cell>
          <cell r="AA6">
            <v>281.73405856992144</v>
          </cell>
          <cell r="AB6">
            <v>225.79589287736624</v>
          </cell>
          <cell r="AC6">
            <v>141.35955707902403</v>
          </cell>
          <cell r="AD6">
            <v>162.04916831888107</v>
          </cell>
          <cell r="AE6">
            <v>218.13267579753639</v>
          </cell>
          <cell r="AF6">
            <v>187.18529450869769</v>
          </cell>
          <cell r="AG6">
            <v>210.55578026284437</v>
          </cell>
          <cell r="AH6">
            <v>189.43603935809296</v>
          </cell>
        </row>
        <row r="7">
          <cell r="C7">
            <v>16.46930854023503</v>
          </cell>
          <cell r="D7">
            <v>15.055964887595144</v>
          </cell>
          <cell r="E7">
            <v>11.378356279985404</v>
          </cell>
          <cell r="G7">
            <v>14.725941640343088</v>
          </cell>
          <cell r="H7">
            <v>13.737896325472491</v>
          </cell>
          <cell r="I7">
            <v>14.687352797056413</v>
          </cell>
          <cell r="J7">
            <v>16.378921230561001</v>
          </cell>
          <cell r="K7">
            <v>19.155603892749809</v>
          </cell>
          <cell r="L7">
            <v>14.975490342694764</v>
          </cell>
          <cell r="N7">
            <v>19.078914942720949</v>
          </cell>
          <cell r="O7">
            <v>18.563970029381849</v>
          </cell>
          <cell r="P7">
            <v>15.646747547779347</v>
          </cell>
          <cell r="Q7">
            <v>19.827429245679355</v>
          </cell>
          <cell r="R7">
            <v>10.858121029835512</v>
          </cell>
          <cell r="S7">
            <v>13.947528590249519</v>
          </cell>
          <cell r="T7">
            <v>20.643624077219979</v>
          </cell>
          <cell r="U7">
            <v>11.345657458544654</v>
          </cell>
          <cell r="V7">
            <v>18.247129813798413</v>
          </cell>
          <cell r="W7">
            <v>23.173726986948921</v>
          </cell>
          <cell r="Y7">
            <v>11.901507133304584</v>
          </cell>
          <cell r="Z7">
            <v>14.220716842273047</v>
          </cell>
          <cell r="AA7">
            <v>11.410745753280532</v>
          </cell>
          <cell r="AB7">
            <v>18.972876504677654</v>
          </cell>
          <cell r="AC7">
            <v>12.102796920289054</v>
          </cell>
          <cell r="AD7">
            <v>17.959702855594312</v>
          </cell>
          <cell r="AE7">
            <v>14.405552113234537</v>
          </cell>
          <cell r="AF7">
            <v>11.24221558747103</v>
          </cell>
          <cell r="AG7">
            <v>10.548744941554274</v>
          </cell>
          <cell r="AH7">
            <v>11.48899319947528</v>
          </cell>
        </row>
        <row r="8">
          <cell r="C8">
            <v>93.407505559260017</v>
          </cell>
          <cell r="D8">
            <v>116.11997353434127</v>
          </cell>
          <cell r="E8">
            <v>85.914278384038909</v>
          </cell>
          <cell r="G8">
            <v>111.71222856255561</v>
          </cell>
          <cell r="H8">
            <v>159.24794776393728</v>
          </cell>
          <cell r="I8">
            <v>121.44098973097437</v>
          </cell>
          <cell r="J8">
            <v>146.21856230990426</v>
          </cell>
          <cell r="K8">
            <v>173.39986298070818</v>
          </cell>
          <cell r="L8">
            <v>213.9565085369141</v>
          </cell>
          <cell r="N8">
            <v>158.30705653572247</v>
          </cell>
          <cell r="O8">
            <v>161.69732528186179</v>
          </cell>
          <cell r="P8">
            <v>136.52401099808102</v>
          </cell>
          <cell r="Q8">
            <v>114.61451740770174</v>
          </cell>
          <cell r="R8">
            <v>72.110801562956851</v>
          </cell>
          <cell r="S8">
            <v>123.22308585426433</v>
          </cell>
          <cell r="T8">
            <v>128.25341074631029</v>
          </cell>
          <cell r="U8">
            <v>90.411639627074479</v>
          </cell>
          <cell r="V8">
            <v>161.85579436007237</v>
          </cell>
          <cell r="W8">
            <v>125.27839314915529</v>
          </cell>
          <cell r="Y8">
            <v>85.639335738325585</v>
          </cell>
          <cell r="Z8">
            <v>116.93598560687408</v>
          </cell>
          <cell r="AA8">
            <v>188.66124483332482</v>
          </cell>
          <cell r="AB8">
            <v>136.62059767845653</v>
          </cell>
          <cell r="AC8">
            <v>90.250416673816488</v>
          </cell>
          <cell r="AD8">
            <v>104.11085163097266</v>
          </cell>
          <cell r="AE8">
            <v>138.33357951926709</v>
          </cell>
          <cell r="AF8">
            <v>125.22285366559723</v>
          </cell>
          <cell r="AG8">
            <v>152.25676616532195</v>
          </cell>
          <cell r="AH8">
            <v>138.78575707166002</v>
          </cell>
        </row>
        <row r="9">
          <cell r="C9">
            <v>50.901688383734893</v>
          </cell>
          <cell r="D9">
            <v>55.292475389477509</v>
          </cell>
          <cell r="E9">
            <v>47.197261409690242</v>
          </cell>
          <cell r="G9">
            <v>58.803506068390313</v>
          </cell>
          <cell r="H9">
            <v>60.311854664585688</v>
          </cell>
          <cell r="I9">
            <v>66.115252774954953</v>
          </cell>
          <cell r="J9">
            <v>91.712731333513617</v>
          </cell>
          <cell r="K9">
            <v>85.960814051115349</v>
          </cell>
          <cell r="L9">
            <v>70.708994443867397</v>
          </cell>
          <cell r="N9">
            <v>78.403288172436078</v>
          </cell>
          <cell r="O9">
            <v>74.061057250072167</v>
          </cell>
          <cell r="P9">
            <v>68.542485638953607</v>
          </cell>
          <cell r="Q9">
            <v>67.094681633917858</v>
          </cell>
          <cell r="R9">
            <v>43.996078234164536</v>
          </cell>
          <cell r="S9">
            <v>53.040740212189164</v>
          </cell>
          <cell r="T9">
            <v>74.353105956243724</v>
          </cell>
          <cell r="U9">
            <v>54.973139335643424</v>
          </cell>
          <cell r="V9">
            <v>86.768372835871304</v>
          </cell>
          <cell r="W9">
            <v>98.835000941541779</v>
          </cell>
          <cell r="Y9">
            <v>54.59167360206083</v>
          </cell>
          <cell r="Z9">
            <v>59.761400089342573</v>
          </cell>
          <cell r="AA9">
            <v>65.184512774607541</v>
          </cell>
          <cell r="AB9">
            <v>70.283946702951653</v>
          </cell>
          <cell r="AC9">
            <v>45.526170419922821</v>
          </cell>
          <cell r="AD9">
            <v>55.196813981807551</v>
          </cell>
          <cell r="AE9">
            <v>71.968658206417217</v>
          </cell>
          <cell r="AF9">
            <v>57.465076848344957</v>
          </cell>
          <cell r="AG9">
            <v>64.75961601413286</v>
          </cell>
          <cell r="AH9">
            <v>61.346869450849567</v>
          </cell>
        </row>
        <row r="10">
          <cell r="C10">
            <v>23.139600000000002</v>
          </cell>
          <cell r="D10">
            <v>24.258400000000002</v>
          </cell>
          <cell r="E10">
            <v>8.4256774583931726</v>
          </cell>
          <cell r="G10">
            <v>7.1451868480956247</v>
          </cell>
          <cell r="H10">
            <v>35.446987701350537</v>
          </cell>
          <cell r="I10">
            <v>25.728520335557874</v>
          </cell>
          <cell r="J10">
            <v>38.338308760479144</v>
          </cell>
          <cell r="K10">
            <v>43.593622151354722</v>
          </cell>
          <cell r="L10">
            <v>71.404269773155264</v>
          </cell>
          <cell r="N10">
            <v>21.636755298994238</v>
          </cell>
          <cell r="O10">
            <v>47.963865599246098</v>
          </cell>
          <cell r="P10">
            <v>32.319696748517877</v>
          </cell>
          <cell r="Q10">
            <v>7.7255554775137911</v>
          </cell>
          <cell r="R10">
            <v>4.6375532316896537</v>
          </cell>
          <cell r="S10">
            <v>5.0993199999999996</v>
          </cell>
          <cell r="T10">
            <v>9.9844422575034315</v>
          </cell>
          <cell r="U10">
            <v>1.946228065959825</v>
          </cell>
          <cell r="V10">
            <v>7.8239349205011344</v>
          </cell>
          <cell r="W10">
            <v>13.207907621133561</v>
          </cell>
          <cell r="Y10">
            <v>11.689922307112601</v>
          </cell>
          <cell r="Z10">
            <v>14.914899999999999</v>
          </cell>
          <cell r="AA10">
            <v>20.80359502807751</v>
          </cell>
          <cell r="AB10">
            <v>2.533163164128355</v>
          </cell>
          <cell r="AC10">
            <v>6.2911400000000004</v>
          </cell>
          <cell r="AD10">
            <v>2.6328345213392828</v>
          </cell>
          <cell r="AE10">
            <v>16.767202036249586</v>
          </cell>
          <cell r="AF10">
            <v>8.5366437825057524</v>
          </cell>
          <cell r="AG10">
            <v>34.531516300467771</v>
          </cell>
          <cell r="AH10">
            <v>19.667399798132948</v>
          </cell>
        </row>
        <row r="11">
          <cell r="C11">
            <v>20.567099058502556</v>
          </cell>
          <cell r="D11">
            <v>24.67237006421567</v>
          </cell>
          <cell r="E11">
            <v>20.908221001791436</v>
          </cell>
          <cell r="G11">
            <v>22.611453440628335</v>
          </cell>
          <cell r="H11">
            <v>23.3301330967412</v>
          </cell>
          <cell r="I11">
            <v>23.490211162951336</v>
          </cell>
          <cell r="J11">
            <v>14.153661237576543</v>
          </cell>
          <cell r="K11">
            <v>25.277767599137459</v>
          </cell>
          <cell r="L11">
            <v>18.159801369533984</v>
          </cell>
          <cell r="N11">
            <v>31.711293398056295</v>
          </cell>
          <cell r="O11">
            <v>27.502747740435119</v>
          </cell>
          <cell r="P11">
            <v>26.270135799781396</v>
          </cell>
          <cell r="Q11">
            <v>22.687054517180247</v>
          </cell>
          <cell r="R11">
            <v>19.374203109401872</v>
          </cell>
          <cell r="S11">
            <v>19.951306119183506</v>
          </cell>
          <cell r="T11">
            <v>27.643436405335787</v>
          </cell>
          <cell r="U11">
            <v>26.478815191872034</v>
          </cell>
          <cell r="V11">
            <v>17.915197475541582</v>
          </cell>
          <cell r="W11">
            <v>23.832714531975206</v>
          </cell>
          <cell r="Y11">
            <v>21.813399343847991</v>
          </cell>
          <cell r="Z11">
            <v>22.703157501228251</v>
          </cell>
          <cell r="AA11">
            <v>22.924818010569862</v>
          </cell>
          <cell r="AB11">
            <v>23.651126660155448</v>
          </cell>
          <cell r="AC11">
            <v>19.875020380012948</v>
          </cell>
          <cell r="AD11">
            <v>19.994185974247291</v>
          </cell>
          <cell r="AE11">
            <v>24.092333790741929</v>
          </cell>
          <cell r="AF11">
            <v>24.205162855919411</v>
          </cell>
          <cell r="AG11">
            <v>24.606983833609501</v>
          </cell>
          <cell r="AH11">
            <v>21.002032837902281</v>
          </cell>
        </row>
        <row r="12">
          <cell r="C12">
            <v>6.5424931091533143</v>
          </cell>
          <cell r="D12">
            <v>6.3901254464104502</v>
          </cell>
          <cell r="E12">
            <v>5.2575547307769801</v>
          </cell>
          <cell r="G12">
            <v>6.4326413918786889</v>
          </cell>
          <cell r="H12">
            <v>5.8798271528503037</v>
          </cell>
          <cell r="I12">
            <v>5.5839250889461569</v>
          </cell>
          <cell r="J12">
            <v>6.7880005995610917</v>
          </cell>
          <cell r="K12">
            <v>7.6459546523600759</v>
          </cell>
          <cell r="L12">
            <v>6.2206534257380497</v>
          </cell>
          <cell r="N12">
            <v>7.8487112609799707</v>
          </cell>
          <cell r="O12">
            <v>9.1227354153350468</v>
          </cell>
          <cell r="P12">
            <v>6.2755763906055737</v>
          </cell>
          <cell r="Q12">
            <v>6.9070027782109245</v>
          </cell>
          <cell r="R12">
            <v>3.7659229788377178</v>
          </cell>
          <cell r="S12">
            <v>6.7342328945908196</v>
          </cell>
          <cell r="T12">
            <v>7.3459655854129506</v>
          </cell>
          <cell r="U12">
            <v>6.9681415284864689</v>
          </cell>
          <cell r="V12">
            <v>8.4557200249286719</v>
          </cell>
          <cell r="W12">
            <v>9.6868777451528985</v>
          </cell>
          <cell r="Y12">
            <v>4.7528962306258453</v>
          </cell>
          <cell r="Z12">
            <v>6.3721933433119418</v>
          </cell>
          <cell r="AA12">
            <v>6.3272518043822172</v>
          </cell>
          <cell r="AB12">
            <v>12.52870309684706</v>
          </cell>
          <cell r="AC12">
            <v>6.7981005799090983</v>
          </cell>
          <cell r="AD12">
            <v>9.5118539577337042</v>
          </cell>
          <cell r="AE12">
            <v>8.0375908090840102</v>
          </cell>
          <cell r="AF12">
            <v>6.6038450141710614</v>
          </cell>
          <cell r="AG12">
            <v>8.661901964913147</v>
          </cell>
          <cell r="AH12">
            <v>6.7817496282963132</v>
          </cell>
        </row>
        <row r="13">
          <cell r="C13">
            <v>96.332584447523914</v>
          </cell>
          <cell r="D13">
            <v>113.73088828240178</v>
          </cell>
          <cell r="E13">
            <v>124.58167869070543</v>
          </cell>
          <cell r="G13">
            <v>111.16698540301304</v>
          </cell>
          <cell r="H13">
            <v>106.1285502208858</v>
          </cell>
          <cell r="I13">
            <v>120.87401296800927</v>
          </cell>
          <cell r="J13">
            <v>51.779952854791098</v>
          </cell>
          <cell r="K13">
            <v>101.43571509604695</v>
          </cell>
          <cell r="L13">
            <v>73.837644067186702</v>
          </cell>
          <cell r="N13">
            <v>183.85372318127088</v>
          </cell>
          <cell r="O13">
            <v>197.17448599582409</v>
          </cell>
          <cell r="P13">
            <v>229.31330424725371</v>
          </cell>
          <cell r="Q13">
            <v>146.4073208835236</v>
          </cell>
          <cell r="R13">
            <v>176.05243712719678</v>
          </cell>
          <cell r="S13">
            <v>108.07581118405196</v>
          </cell>
          <cell r="T13">
            <v>143.25887797188722</v>
          </cell>
          <cell r="U13">
            <v>168.52387035445125</v>
          </cell>
          <cell r="V13">
            <v>135.62717782256891</v>
          </cell>
          <cell r="W13">
            <v>147.8205844673347</v>
          </cell>
          <cell r="Y13">
            <v>165.6448607241546</v>
          </cell>
          <cell r="Z13">
            <v>191.21736388495449</v>
          </cell>
          <cell r="AA13">
            <v>150.03391736434804</v>
          </cell>
          <cell r="AB13">
            <v>154.81897616617027</v>
          </cell>
          <cell r="AC13">
            <v>138.80630993893354</v>
          </cell>
          <cell r="AD13">
            <v>121.38446970762809</v>
          </cell>
          <cell r="AE13">
            <v>175.70478196573544</v>
          </cell>
          <cell r="AF13">
            <v>155.16549515356664</v>
          </cell>
          <cell r="AG13">
            <v>207.0726006859056</v>
          </cell>
          <cell r="AH13">
            <v>123.16310439155973</v>
          </cell>
        </row>
        <row r="14">
          <cell r="C14">
            <v>13.902540174416394</v>
          </cell>
          <cell r="D14">
            <v>15.747945262012573</v>
          </cell>
          <cell r="E14">
            <v>8.6145441411339672</v>
          </cell>
          <cell r="G14">
            <v>29.314102777355682</v>
          </cell>
          <cell r="H14">
            <v>48.390872923800146</v>
          </cell>
          <cell r="I14">
            <v>39.816917692030174</v>
          </cell>
          <cell r="J14">
            <v>75.304799011000213</v>
          </cell>
          <cell r="K14">
            <v>75.51748233928204</v>
          </cell>
          <cell r="L14">
            <v>47.387427668400512</v>
          </cell>
          <cell r="N14">
            <v>31.485802801703588</v>
          </cell>
          <cell r="O14">
            <v>63.429505654659017</v>
          </cell>
          <cell r="P14">
            <v>37.704164066575316</v>
          </cell>
          <cell r="Q14">
            <v>17.773802852217568</v>
          </cell>
          <cell r="R14">
            <v>14.981375593719104</v>
          </cell>
          <cell r="S14">
            <v>13.694738184780874</v>
          </cell>
          <cell r="T14">
            <v>27.031550840315777</v>
          </cell>
          <cell r="U14">
            <v>15.076446851512678</v>
          </cell>
          <cell r="V14">
            <v>18.808427886449145</v>
          </cell>
          <cell r="W14">
            <v>24.983338295950951</v>
          </cell>
          <cell r="Y14">
            <v>19.420528591933142</v>
          </cell>
          <cell r="Z14">
            <v>16.457125016909082</v>
          </cell>
          <cell r="AA14">
            <v>31.990637198987272</v>
          </cell>
          <cell r="AB14">
            <v>14.645222094695757</v>
          </cell>
          <cell r="AC14">
            <v>14.919233573626299</v>
          </cell>
          <cell r="AD14">
            <v>13.560041628644743</v>
          </cell>
          <cell r="AE14">
            <v>26.743439953233924</v>
          </cell>
          <cell r="AF14">
            <v>22.214991435779908</v>
          </cell>
          <cell r="AG14">
            <v>45.194895919865999</v>
          </cell>
          <cell r="AH14">
            <v>17.699075632039634</v>
          </cell>
        </row>
        <row r="15">
          <cell r="C15">
            <v>38.511735721612553</v>
          </cell>
          <cell r="D15">
            <v>49.781711845518082</v>
          </cell>
          <cell r="E15">
            <v>49.055682392010986</v>
          </cell>
          <cell r="G15">
            <v>48.582210694047127</v>
          </cell>
          <cell r="H15">
            <v>52.269067676032549</v>
          </cell>
          <cell r="I15">
            <v>38.666776229138733</v>
          </cell>
          <cell r="J15">
            <v>39.075760161227279</v>
          </cell>
          <cell r="K15">
            <v>48.345889775666322</v>
          </cell>
          <cell r="L15">
            <v>24.130742597723131</v>
          </cell>
          <cell r="N15">
            <v>93.253998765866143</v>
          </cell>
          <cell r="O15">
            <v>71.375970911325595</v>
          </cell>
          <cell r="P15">
            <v>85.530935368674648</v>
          </cell>
          <cell r="Q15">
            <v>52.560776612750992</v>
          </cell>
          <cell r="R15">
            <v>58.161171444368826</v>
          </cell>
          <cell r="S15">
            <v>54.132910010185363</v>
          </cell>
          <cell r="T15">
            <v>63.63309014875658</v>
          </cell>
          <cell r="U15">
            <v>59.961942879225219</v>
          </cell>
          <cell r="V15">
            <v>54.890810290812546</v>
          </cell>
          <cell r="W15">
            <v>56.426114335071119</v>
          </cell>
          <cell r="Y15">
            <v>67.23510147495179</v>
          </cell>
          <cell r="Z15">
            <v>67.314708716416973</v>
          </cell>
          <cell r="AA15">
            <v>46.414297429601028</v>
          </cell>
          <cell r="AB15">
            <v>47.85869093479505</v>
          </cell>
          <cell r="AC15">
            <v>38.68779820195887</v>
          </cell>
          <cell r="AD15">
            <v>51.360165743318106</v>
          </cell>
          <cell r="AE15">
            <v>58.306230560400785</v>
          </cell>
          <cell r="AF15">
            <v>41.81366533848351</v>
          </cell>
          <cell r="AG15">
            <v>53.037020619748098</v>
          </cell>
          <cell r="AH15">
            <v>74.210004299236459</v>
          </cell>
        </row>
        <row r="16">
          <cell r="C16">
            <v>0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C17">
            <v>58.836669161595275</v>
          </cell>
          <cell r="D17">
            <v>61.782684088398639</v>
          </cell>
          <cell r="E17">
            <v>59.504755476986084</v>
          </cell>
          <cell r="G17">
            <v>68.095489600463921</v>
          </cell>
          <cell r="H17">
            <v>64.829657798369624</v>
          </cell>
          <cell r="I17">
            <v>59.629992106646192</v>
          </cell>
          <cell r="J17">
            <v>77.215244508599824</v>
          </cell>
          <cell r="K17">
            <v>77.845896290329478</v>
          </cell>
          <cell r="L17">
            <v>54.438091185858184</v>
          </cell>
          <cell r="N17">
            <v>87.208325045442251</v>
          </cell>
          <cell r="O17">
            <v>71.917655205097134</v>
          </cell>
          <cell r="P17">
            <v>64.389018978533002</v>
          </cell>
          <cell r="Q17">
            <v>61.878241287966972</v>
          </cell>
          <cell r="R17">
            <v>51.477103788936383</v>
          </cell>
          <cell r="S17">
            <v>54.753178815091289</v>
          </cell>
          <cell r="T17">
            <v>63.760713519503774</v>
          </cell>
          <cell r="U17">
            <v>59.01157464291942</v>
          </cell>
          <cell r="V17">
            <v>69.196293389126225</v>
          </cell>
          <cell r="W17">
            <v>67.283719931657373</v>
          </cell>
          <cell r="Y17">
            <v>53.75920940514014</v>
          </cell>
          <cell r="Z17">
            <v>64.637788853074184</v>
          </cell>
          <cell r="AA17">
            <v>56.562853001654759</v>
          </cell>
          <cell r="AB17">
            <v>66.283816221834215</v>
          </cell>
          <cell r="AC17">
            <v>53.243275891763794</v>
          </cell>
          <cell r="AD17">
            <v>58.225459179419254</v>
          </cell>
          <cell r="AE17">
            <v>58.477365230267864</v>
          </cell>
          <cell r="AF17">
            <v>56.190937827690306</v>
          </cell>
          <cell r="AG17">
            <v>51.362611839830294</v>
          </cell>
          <cell r="AH17">
            <v>56.032195159167834</v>
          </cell>
        </row>
        <row r="18">
          <cell r="C18">
            <v>16.026161010660694</v>
          </cell>
          <cell r="D18">
            <v>17.333209217722263</v>
          </cell>
          <cell r="E18">
            <v>11.956036418050813</v>
          </cell>
          <cell r="G18">
            <v>23.705437000519694</v>
          </cell>
          <cell r="H18">
            <v>31.395701968447259</v>
          </cell>
          <cell r="I18">
            <v>28.99537632324736</v>
          </cell>
          <cell r="J18">
            <v>36.366067019376032</v>
          </cell>
          <cell r="K18">
            <v>41.914618885731542</v>
          </cell>
          <cell r="L18">
            <v>17.769588024424582</v>
          </cell>
          <cell r="N18">
            <v>34.326246270778213</v>
          </cell>
          <cell r="O18">
            <v>37.400915860919675</v>
          </cell>
          <cell r="P18">
            <v>31.206415577171146</v>
          </cell>
          <cell r="Q18">
            <v>24.115787073548429</v>
          </cell>
          <cell r="R18">
            <v>17.320906848491287</v>
          </cell>
          <cell r="S18">
            <v>17.281394058886921</v>
          </cell>
          <cell r="T18">
            <v>24.135820064325408</v>
          </cell>
          <cell r="U18">
            <v>16.48359476131839</v>
          </cell>
          <cell r="V18">
            <v>19.849583564616317</v>
          </cell>
          <cell r="W18">
            <v>27.411515827527712</v>
          </cell>
          <cell r="Y18">
            <v>23.28361178963339</v>
          </cell>
          <cell r="Z18">
            <v>19.60647512101869</v>
          </cell>
          <cell r="AA18">
            <v>26.585955775279569</v>
          </cell>
          <cell r="AB18">
            <v>18.222120680108116</v>
          </cell>
          <cell r="AC18">
            <v>17.341335050283099</v>
          </cell>
          <cell r="AD18">
            <v>11.290297580488881</v>
          </cell>
          <cell r="AE18">
            <v>27.412899405311901</v>
          </cell>
          <cell r="AF18">
            <v>20.436674580148079</v>
          </cell>
          <cell r="AG18">
            <v>31.794135008940067</v>
          </cell>
          <cell r="AH18">
            <v>20.128514419705535</v>
          </cell>
        </row>
        <row r="26">
          <cell r="C26">
            <v>166.40033396729058</v>
          </cell>
          <cell r="D26">
            <v>190.55609157412948</v>
          </cell>
          <cell r="E26">
            <v>172.84454540793044</v>
          </cell>
          <cell r="F26">
            <v>386.04153921054598</v>
          </cell>
          <cell r="G26">
            <v>174.98719741726535</v>
          </cell>
          <cell r="H26">
            <v>75.292928765348165</v>
          </cell>
          <cell r="I26">
            <v>194.38348041117467</v>
          </cell>
          <cell r="K26">
            <v>315.2808579844363</v>
          </cell>
          <cell r="L26">
            <v>634.95872209677418</v>
          </cell>
          <cell r="N26">
            <v>680.7664235285016</v>
          </cell>
          <cell r="O26">
            <v>441.561254838715</v>
          </cell>
          <cell r="P26">
            <v>305.53842879060824</v>
          </cell>
          <cell r="Q26">
            <v>407.68801967156878</v>
          </cell>
          <cell r="R26">
            <v>395.52320057757129</v>
          </cell>
          <cell r="S26">
            <v>355.8443428930363</v>
          </cell>
          <cell r="T26">
            <v>250.23559841912956</v>
          </cell>
          <cell r="U26">
            <v>421.9766304944755</v>
          </cell>
          <cell r="V26">
            <v>429.02455090663466</v>
          </cell>
          <cell r="W26">
            <v>495.72706805666718</v>
          </cell>
          <cell r="Z26">
            <v>233.90917325914819</v>
          </cell>
          <cell r="AA26">
            <v>488.73012006030331</v>
          </cell>
          <cell r="AB26">
            <v>274.72403451544409</v>
          </cell>
          <cell r="AC26">
            <v>315.10634693782526</v>
          </cell>
          <cell r="AD26">
            <v>264.40922688670639</v>
          </cell>
          <cell r="AE26">
            <v>200.23770979631661</v>
          </cell>
          <cell r="AF26">
            <v>277.55414453147222</v>
          </cell>
          <cell r="AG26">
            <v>166.16438397945768</v>
          </cell>
          <cell r="AH26">
            <v>195.78805649813026</v>
          </cell>
        </row>
        <row r="27">
          <cell r="C27">
            <v>2957.9601070068379</v>
          </cell>
          <cell r="D27">
            <v>2066.6952411770644</v>
          </cell>
          <cell r="E27">
            <v>2124.4086787161827</v>
          </cell>
          <cell r="F27">
            <v>4782.4838484395314</v>
          </cell>
          <cell r="G27">
            <v>2283.8674680228946</v>
          </cell>
          <cell r="H27">
            <v>1931.0235524972527</v>
          </cell>
          <cell r="I27">
            <v>2290.4128351644281</v>
          </cell>
          <cell r="K27">
            <v>3632.6535817394997</v>
          </cell>
          <cell r="L27">
            <v>3365.5472709677424</v>
          </cell>
          <cell r="N27">
            <v>4480.9508037236692</v>
          </cell>
          <cell r="O27">
            <v>3117.5246942744866</v>
          </cell>
          <cell r="P27">
            <v>2038.8034946024115</v>
          </cell>
          <cell r="Q27">
            <v>2726.5442491683157</v>
          </cell>
          <cell r="R27">
            <v>2812.6154431664881</v>
          </cell>
          <cell r="S27">
            <v>2907.1006432763434</v>
          </cell>
          <cell r="T27">
            <v>1948.4609433346802</v>
          </cell>
          <cell r="U27">
            <v>2859.147329578765</v>
          </cell>
          <cell r="V27">
            <v>2925.155665067633</v>
          </cell>
          <cell r="W27">
            <v>3044.4000796418677</v>
          </cell>
          <cell r="Z27">
            <v>2310.2421502455791</v>
          </cell>
          <cell r="AA27">
            <v>3423.9933367482818</v>
          </cell>
          <cell r="AB27">
            <v>1984.2028697086737</v>
          </cell>
          <cell r="AC27">
            <v>1682.642393961758</v>
          </cell>
          <cell r="AD27">
            <v>1637.4010103741882</v>
          </cell>
          <cell r="AE27">
            <v>1586.130352291081</v>
          </cell>
          <cell r="AF27">
            <v>2002.0074577674691</v>
          </cell>
          <cell r="AG27">
            <v>1635.1690397055127</v>
          </cell>
          <cell r="AH27">
            <v>1438.0946829907382</v>
          </cell>
        </row>
        <row r="28">
          <cell r="C28">
            <v>311.92789730693556</v>
          </cell>
          <cell r="D28">
            <v>232.96945294261786</v>
          </cell>
          <cell r="E28">
            <v>364.97123633822895</v>
          </cell>
          <cell r="F28">
            <v>1069.1777254929686</v>
          </cell>
          <cell r="G28">
            <v>296.88675333117573</v>
          </cell>
          <cell r="H28">
            <v>203.63239087388487</v>
          </cell>
          <cell r="I28">
            <v>296.34610247117593</v>
          </cell>
          <cell r="K28">
            <v>664.16351565009541</v>
          </cell>
          <cell r="L28">
            <v>944.18269951612899</v>
          </cell>
          <cell r="N28">
            <v>1211.1660070103233</v>
          </cell>
          <cell r="O28">
            <v>449.2886308638021</v>
          </cell>
          <cell r="P28">
            <v>285.22304155982346</v>
          </cell>
          <cell r="Q28">
            <v>746.74237393592455</v>
          </cell>
          <cell r="R28">
            <v>593.20787827886841</v>
          </cell>
          <cell r="S28">
            <v>523.27646599843649</v>
          </cell>
          <cell r="T28">
            <v>228.72479280863283</v>
          </cell>
          <cell r="U28">
            <v>701.0280191535046</v>
          </cell>
          <cell r="V28">
            <v>637.72879313781971</v>
          </cell>
          <cell r="W28">
            <v>650.9861418855852</v>
          </cell>
          <cell r="Z28">
            <v>235.99277314531497</v>
          </cell>
          <cell r="AA28">
            <v>230.26684469194902</v>
          </cell>
          <cell r="AB28">
            <v>240.07414267191831</v>
          </cell>
          <cell r="AC28">
            <v>374.46851664070823</v>
          </cell>
          <cell r="AD28">
            <v>405.68442657477596</v>
          </cell>
          <cell r="AE28">
            <v>155.45366275938025</v>
          </cell>
          <cell r="AF28">
            <v>336.01432438712504</v>
          </cell>
          <cell r="AG28">
            <v>118.71754146939058</v>
          </cell>
          <cell r="AH28">
            <v>196.19012891870904</v>
          </cell>
        </row>
        <row r="30">
          <cell r="C30">
            <v>446.10669684691817</v>
          </cell>
          <cell r="D30">
            <v>472.94700485680744</v>
          </cell>
          <cell r="E30">
            <v>335.03927899230791</v>
          </cell>
          <cell r="F30">
            <v>738.04901775681503</v>
          </cell>
          <cell r="G30">
            <v>419.54236731305832</v>
          </cell>
          <cell r="H30">
            <v>429.78486665221402</v>
          </cell>
          <cell r="I30">
            <v>399.57664851088924</v>
          </cell>
          <cell r="K30">
            <v>520.43591227639752</v>
          </cell>
          <cell r="L30">
            <v>654.56403629032252</v>
          </cell>
          <cell r="N30">
            <v>685.19058747781628</v>
          </cell>
          <cell r="O30">
            <v>580.96551972338375</v>
          </cell>
          <cell r="P30">
            <v>439.69802991039739</v>
          </cell>
          <cell r="Q30">
            <v>440.34971811101389</v>
          </cell>
          <cell r="R30">
            <v>425.59301799605254</v>
          </cell>
          <cell r="S30">
            <v>438.67297442175101</v>
          </cell>
          <cell r="T30">
            <v>482.18416760415045</v>
          </cell>
          <cell r="U30">
            <v>540.38088557028527</v>
          </cell>
          <cell r="V30">
            <v>624.39255471442789</v>
          </cell>
          <cell r="W30">
            <v>621.62212402707496</v>
          </cell>
          <cell r="Z30">
            <v>582.52071423404743</v>
          </cell>
          <cell r="AA30">
            <v>1274.1201995322624</v>
          </cell>
          <cell r="AB30">
            <v>605.29746820865887</v>
          </cell>
          <cell r="AC30">
            <v>406.08066855402654</v>
          </cell>
          <cell r="AD30">
            <v>432.55451494645462</v>
          </cell>
          <cell r="AE30">
            <v>465.02292016255052</v>
          </cell>
          <cell r="AF30">
            <v>500.6835262640684</v>
          </cell>
          <cell r="AG30">
            <v>440.4092494308228</v>
          </cell>
          <cell r="AH30">
            <v>480.73264890933314</v>
          </cell>
        </row>
        <row r="31">
          <cell r="C31">
            <v>3036.054549899593</v>
          </cell>
          <cell r="D31">
            <v>2207.936804128939</v>
          </cell>
          <cell r="E31">
            <v>2411.3453673250906</v>
          </cell>
          <cell r="F31">
            <v>7284.6905943848788</v>
          </cell>
          <cell r="G31">
            <v>2417.7639775346065</v>
          </cell>
          <cell r="H31">
            <v>2492.4484651830176</v>
          </cell>
          <cell r="I31">
            <v>3002.5744798160863</v>
          </cell>
          <cell r="K31">
            <v>4733.856139855252</v>
          </cell>
          <cell r="L31">
            <v>4704.2397129032261</v>
          </cell>
          <cell r="N31">
            <v>5364.072159401042</v>
          </cell>
          <cell r="O31">
            <v>2664.4667182685116</v>
          </cell>
          <cell r="P31">
            <v>1801.5942911593227</v>
          </cell>
          <cell r="Q31">
            <v>2723.2485210333825</v>
          </cell>
          <cell r="R31">
            <v>2596.0807010142744</v>
          </cell>
          <cell r="S31">
            <v>2721.0589629701572</v>
          </cell>
          <cell r="T31">
            <v>1999.1429780994044</v>
          </cell>
          <cell r="U31">
            <v>3551.7261842032117</v>
          </cell>
          <cell r="V31">
            <v>3530.0461945356806</v>
          </cell>
          <cell r="W31">
            <v>2882.2335060451901</v>
          </cell>
          <cell r="Z31">
            <v>1905.8362592632641</v>
          </cell>
          <cell r="AA31">
            <v>2277.2033269297781</v>
          </cell>
          <cell r="AB31">
            <v>1959.573325860418</v>
          </cell>
          <cell r="AC31">
            <v>1861.8795915046048</v>
          </cell>
          <cell r="AD31">
            <v>2854.2617073866832</v>
          </cell>
          <cell r="AE31">
            <v>1448.6571637904681</v>
          </cell>
          <cell r="AF31">
            <v>2230.9890568253668</v>
          </cell>
          <cell r="AG31">
            <v>1320.0907885367508</v>
          </cell>
          <cell r="AH31">
            <v>1625.5359944433635</v>
          </cell>
        </row>
        <row r="32">
          <cell r="C32">
            <v>1641.8696989075927</v>
          </cell>
          <cell r="D32">
            <v>1296.0771064491921</v>
          </cell>
          <cell r="E32">
            <v>1687.0736585910283</v>
          </cell>
          <cell r="F32">
            <v>3100.9322745686873</v>
          </cell>
          <cell r="G32">
            <v>1385.7237760809937</v>
          </cell>
          <cell r="H32">
            <v>1860.9577749510845</v>
          </cell>
          <cell r="I32">
            <v>1686.9393842080381</v>
          </cell>
          <cell r="K32">
            <v>2414.2961305075946</v>
          </cell>
          <cell r="L32">
            <v>2927.6241112903226</v>
          </cell>
          <cell r="N32">
            <v>6666.5852518445063</v>
          </cell>
          <cell r="O32">
            <v>2530.2131861410649</v>
          </cell>
          <cell r="P32">
            <v>2009.3845283679568</v>
          </cell>
          <cell r="Q32">
            <v>2989.2807845782208</v>
          </cell>
          <cell r="R32">
            <v>3352.6460968501469</v>
          </cell>
          <cell r="S32">
            <v>4216.9594237678866</v>
          </cell>
          <cell r="T32">
            <v>1462.2181209052251</v>
          </cell>
          <cell r="U32">
            <v>3083.2687509432153</v>
          </cell>
          <cell r="V32">
            <v>2971.4587451336224</v>
          </cell>
          <cell r="W32">
            <v>2715.6446302879867</v>
          </cell>
          <cell r="Z32">
            <v>1592.7998082253951</v>
          </cell>
          <cell r="AA32">
            <v>1713.3521594308154</v>
          </cell>
          <cell r="AB32">
            <v>1284.3652202162207</v>
          </cell>
          <cell r="AC32">
            <v>1245.8290139960002</v>
          </cell>
          <cell r="AD32">
            <v>1911.0563329048925</v>
          </cell>
          <cell r="AE32">
            <v>1166.2187414246666</v>
          </cell>
          <cell r="AF32">
            <v>1609.2249408536643</v>
          </cell>
          <cell r="AG32">
            <v>1005.7882662890412</v>
          </cell>
          <cell r="AH32">
            <v>1181.1518765189653</v>
          </cell>
        </row>
        <row r="33">
          <cell r="C33">
            <v>18.156088368626573</v>
          </cell>
          <cell r="D33">
            <v>17.171100116882464</v>
          </cell>
          <cell r="E33">
            <v>17.516548139936639</v>
          </cell>
          <cell r="F33">
            <v>31.421181673515409</v>
          </cell>
          <cell r="G33">
            <v>19.4861254455612</v>
          </cell>
          <cell r="H33">
            <v>17.077212597553849</v>
          </cell>
          <cell r="I33">
            <v>20.762449477506145</v>
          </cell>
          <cell r="K33">
            <v>24.491210504075219</v>
          </cell>
          <cell r="L33">
            <v>20.082170967741934</v>
          </cell>
          <cell r="N33">
            <v>24.602490978342985</v>
          </cell>
          <cell r="O33">
            <v>33.581397196677763</v>
          </cell>
          <cell r="P33">
            <v>21.52165102457138</v>
          </cell>
          <cell r="Q33">
            <v>27.11551477676047</v>
          </cell>
          <cell r="R33">
            <v>27.433228749634402</v>
          </cell>
          <cell r="S33">
            <v>15.721760546818311</v>
          </cell>
          <cell r="T33">
            <v>25.855458248355173</v>
          </cell>
          <cell r="U33">
            <v>37.277566868215366</v>
          </cell>
          <cell r="V33">
            <v>41.905150158039014</v>
          </cell>
          <cell r="W33">
            <v>34.781768484675716</v>
          </cell>
          <cell r="Z33">
            <v>38.11419496816319</v>
          </cell>
          <cell r="AA33">
            <v>46.932789752609885</v>
          </cell>
          <cell r="AB33">
            <v>28.617665721465524</v>
          </cell>
          <cell r="AC33">
            <v>25.924307010864908</v>
          </cell>
          <cell r="AD33">
            <v>20.697411757325167</v>
          </cell>
          <cell r="AE33">
            <v>21.249119272326364</v>
          </cell>
          <cell r="AF33">
            <v>24.341313311635002</v>
          </cell>
          <cell r="AG33">
            <v>28.307413959583023</v>
          </cell>
          <cell r="AH33">
            <v>16.91838677914355</v>
          </cell>
        </row>
        <row r="34">
          <cell r="C34">
            <v>67.373079074986819</v>
          </cell>
          <cell r="D34">
            <v>58.508396259544703</v>
          </cell>
          <cell r="E34">
            <v>92.097703670652564</v>
          </cell>
          <cell r="F34">
            <v>145.63141005887184</v>
          </cell>
          <cell r="G34">
            <v>59.236308749070893</v>
          </cell>
          <cell r="H34">
            <v>69.647861186278504</v>
          </cell>
          <cell r="I34">
            <v>74.924470059651085</v>
          </cell>
          <cell r="K34">
            <v>121.13460753206788</v>
          </cell>
          <cell r="L34">
            <v>212.92980854838711</v>
          </cell>
          <cell r="N34">
            <v>572.33727572135695</v>
          </cell>
          <cell r="O34">
            <v>234.02906570045607</v>
          </cell>
          <cell r="P34">
            <v>199.92905485478482</v>
          </cell>
          <cell r="Q34">
            <v>278.40684738425836</v>
          </cell>
          <cell r="R34">
            <v>308.49533675533013</v>
          </cell>
          <cell r="S34">
            <v>357.15556809698177</v>
          </cell>
          <cell r="T34">
            <v>99.592257901689436</v>
          </cell>
          <cell r="U34">
            <v>303.25445032559691</v>
          </cell>
          <cell r="V34">
            <v>282.27450391103565</v>
          </cell>
          <cell r="W34">
            <v>261.25032192089697</v>
          </cell>
          <cell r="Z34">
            <v>113.58459778980497</v>
          </cell>
          <cell r="AA34">
            <v>105.34429499246575</v>
          </cell>
          <cell r="AB34">
            <v>77.302414125510623</v>
          </cell>
          <cell r="AC34">
            <v>102.24317591971366</v>
          </cell>
          <cell r="AD34">
            <v>101.03983298821987</v>
          </cell>
          <cell r="AE34">
            <v>67.835006864552057</v>
          </cell>
          <cell r="AF34">
            <v>104.97410954869196</v>
          </cell>
          <cell r="AG34">
            <v>47.118320724686484</v>
          </cell>
          <cell r="AH34">
            <v>65.529743176914693</v>
          </cell>
        </row>
        <row r="35">
          <cell r="C35">
            <v>12.947938990181104</v>
          </cell>
          <cell r="D35">
            <v>11.521894879075651</v>
          </cell>
          <cell r="E35">
            <v>10.009021040934497</v>
          </cell>
          <cell r="F35">
            <v>32.054611027300091</v>
          </cell>
          <cell r="G35">
            <v>13.007532992337021</v>
          </cell>
          <cell r="H35">
            <v>8.5551127855583999</v>
          </cell>
          <cell r="I35">
            <v>15.036605810570844</v>
          </cell>
          <cell r="K35">
            <v>12.65728779276993</v>
          </cell>
          <cell r="L35">
            <v>9.8245332258064515</v>
          </cell>
          <cell r="N35">
            <v>7.3493776003027591</v>
          </cell>
          <cell r="O35">
            <v>8.0860908237661349</v>
          </cell>
          <cell r="P35">
            <v>7.1566233842632423</v>
          </cell>
          <cell r="Q35">
            <v>9.4446189450529427</v>
          </cell>
          <cell r="R35">
            <v>7.510506453317034</v>
          </cell>
          <cell r="S35">
            <v>9.455758028540572</v>
          </cell>
          <cell r="T35">
            <v>11.364288256624132</v>
          </cell>
          <cell r="U35">
            <v>17.285318782756111</v>
          </cell>
          <cell r="V35">
            <v>16.202501745240323</v>
          </cell>
          <cell r="W35">
            <v>13.212393567746085</v>
          </cell>
          <cell r="Z35">
            <v>13.656882469511402</v>
          </cell>
          <cell r="AA35">
            <v>11.477262587224329</v>
          </cell>
          <cell r="AB35">
            <v>8.1976697780582395</v>
          </cell>
          <cell r="AC35">
            <v>7.5205467941663837</v>
          </cell>
          <cell r="AD35">
            <v>6.1813690977320759</v>
          </cell>
          <cell r="AE35">
            <v>6.3346676279387175</v>
          </cell>
          <cell r="AF35">
            <v>7.6350114643232105</v>
          </cell>
          <cell r="AG35">
            <v>5.2976503384055764</v>
          </cell>
          <cell r="AH35">
            <v>6.3712374893194008</v>
          </cell>
        </row>
        <row r="36">
          <cell r="C36">
            <v>194.94782164620031</v>
          </cell>
          <cell r="D36">
            <v>128.86219432975108</v>
          </cell>
          <cell r="E36">
            <v>141.04254061061451</v>
          </cell>
          <cell r="F36">
            <v>348.24410962890636</v>
          </cell>
          <cell r="G36">
            <v>181.14456245326963</v>
          </cell>
          <cell r="H36">
            <v>180.91922005801584</v>
          </cell>
          <cell r="I36">
            <v>151.59819423146982</v>
          </cell>
          <cell r="K36">
            <v>265.07658197974484</v>
          </cell>
          <cell r="L36">
            <v>368.65863032258062</v>
          </cell>
          <cell r="N36">
            <v>736.66036148791466</v>
          </cell>
          <cell r="O36">
            <v>265.15325057315437</v>
          </cell>
          <cell r="P36">
            <v>163.78923075873331</v>
          </cell>
          <cell r="Q36">
            <v>262.51959301688038</v>
          </cell>
          <cell r="R36">
            <v>328.216730078181</v>
          </cell>
          <cell r="S36">
            <v>301.50928337932856</v>
          </cell>
          <cell r="T36">
            <v>146.35202395018106</v>
          </cell>
          <cell r="U36">
            <v>256.30278979960406</v>
          </cell>
          <cell r="V36">
            <v>314.62301974610142</v>
          </cell>
          <cell r="W36">
            <v>299.21827747799034</v>
          </cell>
          <cell r="Z36">
            <v>178.14247383367027</v>
          </cell>
          <cell r="AA36">
            <v>179.84765268068551</v>
          </cell>
          <cell r="AB36">
            <v>143.49432095296478</v>
          </cell>
          <cell r="AC36">
            <v>118.8845232602622</v>
          </cell>
          <cell r="AD36">
            <v>111.67871407331644</v>
          </cell>
          <cell r="AE36">
            <v>122.34481908701594</v>
          </cell>
          <cell r="AF36">
            <v>228.14510884791829</v>
          </cell>
          <cell r="AG36">
            <v>118.87634871186667</v>
          </cell>
          <cell r="AH36">
            <v>122.90779643087569</v>
          </cell>
        </row>
        <row r="37">
          <cell r="C37">
            <v>14.921452060026374</v>
          </cell>
          <cell r="D37">
            <v>19.735907349549827</v>
          </cell>
          <cell r="E37">
            <v>14.486195886828765</v>
          </cell>
          <cell r="F37">
            <v>39.420680278852757</v>
          </cell>
          <cell r="G37">
            <v>14.809764907335492</v>
          </cell>
          <cell r="H37">
            <v>10.384913234412839</v>
          </cell>
          <cell r="I37">
            <v>15.77355192588395</v>
          </cell>
          <cell r="K37">
            <v>26.071850220898916</v>
          </cell>
          <cell r="L37">
            <v>16.698771290322579</v>
          </cell>
          <cell r="N37">
            <v>15.579942719429372</v>
          </cell>
          <cell r="O37">
            <v>12.603508170294715</v>
          </cell>
          <cell r="P37">
            <v>13.226078591217668</v>
          </cell>
          <cell r="Q37">
            <v>14.138303954644631</v>
          </cell>
          <cell r="R37">
            <v>10.898211577633864</v>
          </cell>
          <cell r="S37">
            <v>13.239492668306285</v>
          </cell>
          <cell r="T37">
            <v>22.710145307848183</v>
          </cell>
          <cell r="U37">
            <v>18.244460686101068</v>
          </cell>
          <cell r="V37">
            <v>19.491103477446924</v>
          </cell>
          <cell r="W37">
            <v>18.460884711538476</v>
          </cell>
          <cell r="Z37">
            <v>21.881478571976377</v>
          </cell>
          <cell r="AA37">
            <v>18.399092976333904</v>
          </cell>
          <cell r="AB37">
            <v>15.890321192842359</v>
          </cell>
          <cell r="AC37">
            <v>26.256454692271923</v>
          </cell>
          <cell r="AD37">
            <v>12.732943698046396</v>
          </cell>
          <cell r="AE37">
            <v>12.613037500716466</v>
          </cell>
          <cell r="AF37">
            <v>14.997031950645949</v>
          </cell>
          <cell r="AG37">
            <v>9.7298136534732258</v>
          </cell>
          <cell r="AH37">
            <v>14.673288130236088</v>
          </cell>
        </row>
        <row r="38">
          <cell r="C38">
            <v>10.200138252244077</v>
          </cell>
          <cell r="D38">
            <v>12.236400408031052</v>
          </cell>
          <cell r="E38">
            <v>16.159222884849196</v>
          </cell>
          <cell r="F38">
            <v>21.825992447737629</v>
          </cell>
          <cell r="G38">
            <v>15.025360672657078</v>
          </cell>
          <cell r="H38">
            <v>12.338660883687982</v>
          </cell>
          <cell r="I38">
            <v>9.407077622539509</v>
          </cell>
          <cell r="K38">
            <v>26.86426215125659</v>
          </cell>
          <cell r="L38">
            <v>56.117155967741937</v>
          </cell>
          <cell r="N38">
            <v>105.29475487846331</v>
          </cell>
          <cell r="O38">
            <v>28.608412661509814</v>
          </cell>
          <cell r="P38">
            <v>18.507464268993331</v>
          </cell>
          <cell r="Q38">
            <v>49.562624472134679</v>
          </cell>
          <cell r="R38">
            <v>60.408496721683946</v>
          </cell>
          <cell r="S38">
            <v>66.7750331556053</v>
          </cell>
          <cell r="T38">
            <v>17.445699772626007</v>
          </cell>
          <cell r="U38">
            <v>46.610214541035923</v>
          </cell>
          <cell r="V38">
            <v>36.489362632933123</v>
          </cell>
          <cell r="W38">
            <v>41.598333262957844</v>
          </cell>
          <cell r="Z38">
            <v>16.479970918355459</v>
          </cell>
          <cell r="AA38">
            <v>22.383622247183123</v>
          </cell>
          <cell r="AB38">
            <v>14.161444115073136</v>
          </cell>
          <cell r="AC38">
            <v>14.237923050661413</v>
          </cell>
          <cell r="AD38">
            <v>9.8578194989294481</v>
          </cell>
          <cell r="AE38">
            <v>12.221944973825416</v>
          </cell>
          <cell r="AF38">
            <v>12.1115902021688</v>
          </cell>
          <cell r="AG38">
            <v>13.589214548818049</v>
          </cell>
          <cell r="AH38">
            <v>14.802181331852267</v>
          </cell>
        </row>
        <row r="39">
          <cell r="C39">
            <v>7.5417960968382909</v>
          </cell>
          <cell r="D39">
            <v>7.9421510512767552</v>
          </cell>
          <cell r="E39">
            <v>5.7780719252740651</v>
          </cell>
          <cell r="F39">
            <v>8.416414926225535</v>
          </cell>
          <cell r="G39">
            <v>8.9286764886871506</v>
          </cell>
          <cell r="H39">
            <v>5.8134839565024556</v>
          </cell>
          <cell r="I39">
            <v>4.8104891332700976</v>
          </cell>
          <cell r="K39">
            <v>8.7177392118339831</v>
          </cell>
          <cell r="L39">
            <v>5.076581612903226</v>
          </cell>
          <cell r="N39">
            <v>3.9071595020922172</v>
          </cell>
          <cell r="O39">
            <v>4.4925336718244511</v>
          </cell>
          <cell r="P39">
            <v>5.1949035374996511</v>
          </cell>
          <cell r="Q39">
            <v>5.9591704820822011</v>
          </cell>
          <cell r="R39">
            <v>3.2591731922779101</v>
          </cell>
          <cell r="S39">
            <v>4.7291591888514484</v>
          </cell>
          <cell r="T39">
            <v>8.2399612987550057</v>
          </cell>
          <cell r="U39">
            <v>9.5607161083375196</v>
          </cell>
          <cell r="V39">
            <v>7.2806711173672012</v>
          </cell>
          <cell r="W39">
            <v>7.0447459562066852</v>
          </cell>
          <cell r="Z39">
            <v>6.7031896868543681</v>
          </cell>
          <cell r="AA39">
            <v>9.0564517624143193</v>
          </cell>
          <cell r="AB39">
            <v>6.8376977090437299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C40">
            <v>252.34549768780357</v>
          </cell>
          <cell r="D40">
            <v>145.43738031752525</v>
          </cell>
          <cell r="E40">
            <v>178.00847473604409</v>
          </cell>
          <cell r="F40">
            <v>298.14469001050543</v>
          </cell>
          <cell r="G40">
            <v>193.52327991572105</v>
          </cell>
          <cell r="H40">
            <v>214.78393581304209</v>
          </cell>
          <cell r="I40">
            <v>184.02195313757167</v>
          </cell>
          <cell r="K40">
            <v>303.73963098557942</v>
          </cell>
          <cell r="L40">
            <v>349.0404527419355</v>
          </cell>
          <cell r="N40">
            <v>630.68972229984684</v>
          </cell>
          <cell r="O40">
            <v>176.76405684927582</v>
          </cell>
          <cell r="P40">
            <v>79.405600815883005</v>
          </cell>
          <cell r="Q40">
            <v>237.91981327224372</v>
          </cell>
          <cell r="R40">
            <v>246.10149184921795</v>
          </cell>
          <cell r="S40">
            <v>306.78828349663752</v>
          </cell>
          <cell r="T40">
            <v>118.38252413194826</v>
          </cell>
          <cell r="U40">
            <v>262.47974739693166</v>
          </cell>
          <cell r="V40">
            <v>238.14052849059269</v>
          </cell>
          <cell r="W40">
            <v>203.62912998451264</v>
          </cell>
          <cell r="Z40">
            <v>117.92664304921762</v>
          </cell>
          <cell r="AA40">
            <v>152.79604817429006</v>
          </cell>
          <cell r="AB40">
            <v>108.33376782632661</v>
          </cell>
          <cell r="AC40">
            <v>112.684770211174</v>
          </cell>
          <cell r="AD40">
            <v>79.068274889502604</v>
          </cell>
          <cell r="AE40">
            <v>65.258883000915205</v>
          </cell>
          <cell r="AF40">
            <v>146.91782097775786</v>
          </cell>
          <cell r="AG40">
            <v>56.205284895307393</v>
          </cell>
          <cell r="AH40">
            <v>66.163014455402234</v>
          </cell>
        </row>
        <row r="48">
          <cell r="C48">
            <v>5764.1381817028623</v>
          </cell>
          <cell r="D48">
            <v>3708.2685254654748</v>
          </cell>
          <cell r="E48">
            <v>5833.6433268196224</v>
          </cell>
          <cell r="F48">
            <v>6059.7210986437394</v>
          </cell>
          <cell r="G48">
            <v>4330.7629493787827</v>
          </cell>
          <cell r="H48">
            <v>2919.501822509967</v>
          </cell>
          <cell r="I48">
            <v>4388.3379659734173</v>
          </cell>
          <cell r="J48">
            <v>7753.0884384349565</v>
          </cell>
          <cell r="K48">
            <v>7397.8179254371735</v>
          </cell>
          <cell r="L48">
            <v>5598.6606519956986</v>
          </cell>
          <cell r="N48">
            <v>2024.8426993696223</v>
          </cell>
          <cell r="O48">
            <v>1456.3635614596078</v>
          </cell>
          <cell r="P48">
            <v>2498.4132759096847</v>
          </cell>
          <cell r="Q48">
            <v>2895.2999505183971</v>
          </cell>
          <cell r="R48">
            <v>1485.8194054118746</v>
          </cell>
          <cell r="S48">
            <v>1727.7512945201534</v>
          </cell>
          <cell r="T48">
            <v>1682.9172808436419</v>
          </cell>
          <cell r="U48">
            <v>3497.9350625509373</v>
          </cell>
          <cell r="V48">
            <v>3381.2894484088661</v>
          </cell>
          <cell r="W48">
            <v>2739.0134043892258</v>
          </cell>
          <cell r="Y48">
            <v>928.6507266331073</v>
          </cell>
          <cell r="Z48">
            <v>938.94987666737234</v>
          </cell>
          <cell r="AA48">
            <v>1758.7662753378297</v>
          </cell>
          <cell r="AB48">
            <v>1762.1291801100135</v>
          </cell>
          <cell r="AC48">
            <v>2728.0721217019677</v>
          </cell>
          <cell r="AD48">
            <v>3669.599192210922</v>
          </cell>
          <cell r="AE48">
            <v>2634.0883363508415</v>
          </cell>
          <cell r="AF48">
            <v>3238.9996988675725</v>
          </cell>
          <cell r="AG48">
            <v>828.88049933150012</v>
          </cell>
          <cell r="AH48">
            <v>2347.0181145040565</v>
          </cell>
        </row>
        <row r="49">
          <cell r="C49">
            <v>290025.56499312061</v>
          </cell>
          <cell r="D49">
            <v>184888.72154302482</v>
          </cell>
          <cell r="E49">
            <v>273062.61486789124</v>
          </cell>
          <cell r="F49">
            <v>254694.41099711318</v>
          </cell>
          <cell r="G49">
            <v>202839.70411439813</v>
          </cell>
          <cell r="H49">
            <v>184739.70841715543</v>
          </cell>
          <cell r="I49">
            <v>232402.86968981853</v>
          </cell>
          <cell r="J49">
            <v>336532.37783728528</v>
          </cell>
          <cell r="K49">
            <v>348347.68321452365</v>
          </cell>
          <cell r="L49">
            <v>272232.91906697006</v>
          </cell>
          <cell r="N49">
            <v>141392.81047681393</v>
          </cell>
          <cell r="O49">
            <v>83819.84456493883</v>
          </cell>
          <cell r="P49">
            <v>87133.15057086217</v>
          </cell>
          <cell r="Q49">
            <v>170298.58992164364</v>
          </cell>
          <cell r="R49">
            <v>93757.648332699217</v>
          </cell>
          <cell r="S49">
            <v>102456.45045874504</v>
          </cell>
          <cell r="T49">
            <v>91745.505825878194</v>
          </cell>
          <cell r="U49">
            <v>198692.20163171928</v>
          </cell>
          <cell r="V49">
            <v>171576.23160583762</v>
          </cell>
          <cell r="W49">
            <v>136883.96720191659</v>
          </cell>
          <cell r="Y49">
            <v>68244.407031556169</v>
          </cell>
          <cell r="Z49">
            <v>65232.731924779204</v>
          </cell>
          <cell r="AA49">
            <v>133797.34441939174</v>
          </cell>
          <cell r="AB49">
            <v>107999.72308636326</v>
          </cell>
          <cell r="AC49">
            <v>145148.68515468991</v>
          </cell>
          <cell r="AD49">
            <v>127389.92007017213</v>
          </cell>
          <cell r="AE49">
            <v>75429.985845198811</v>
          </cell>
          <cell r="AF49">
            <v>154374.09307558122</v>
          </cell>
          <cell r="AG49">
            <v>49067.690446549881</v>
          </cell>
          <cell r="AH49">
            <v>73824.998562510562</v>
          </cell>
        </row>
        <row r="50">
          <cell r="C50">
            <v>29998.738284089617</v>
          </cell>
          <cell r="D50">
            <v>17412.27875161311</v>
          </cell>
          <cell r="E50">
            <v>29979.749907360077</v>
          </cell>
          <cell r="F50">
            <v>37813.042198069961</v>
          </cell>
          <cell r="G50">
            <v>22029.612154502207</v>
          </cell>
          <cell r="H50">
            <v>13801.864109507787</v>
          </cell>
          <cell r="I50">
            <v>22156.757961841242</v>
          </cell>
          <cell r="J50">
            <v>52586.392137128074</v>
          </cell>
          <cell r="K50">
            <v>43810.104113513378</v>
          </cell>
          <cell r="L50">
            <v>33512.45854683972</v>
          </cell>
          <cell r="N50">
            <v>9970.426356529797</v>
          </cell>
          <cell r="O50">
            <v>4801.5901567494175</v>
          </cell>
          <cell r="P50">
            <v>6825.068103852931</v>
          </cell>
          <cell r="Q50">
            <v>15028.986196417316</v>
          </cell>
          <cell r="R50">
            <v>5851.9410791918626</v>
          </cell>
          <cell r="S50">
            <v>6415.3024405450469</v>
          </cell>
          <cell r="T50">
            <v>6688.1293419195154</v>
          </cell>
          <cell r="U50">
            <v>17383.329393241675</v>
          </cell>
          <cell r="V50">
            <v>15646.49994401241</v>
          </cell>
          <cell r="W50">
            <v>11373.956564777529</v>
          </cell>
          <cell r="Y50">
            <v>3548.2085603549403</v>
          </cell>
          <cell r="Z50">
            <v>3344.7010650114476</v>
          </cell>
          <cell r="AA50">
            <v>8133.4258111441659</v>
          </cell>
          <cell r="AB50">
            <v>8727.2994088806608</v>
          </cell>
          <cell r="AC50">
            <v>13895.14124792678</v>
          </cell>
          <cell r="AD50">
            <v>13004.741111345375</v>
          </cell>
          <cell r="AE50">
            <v>7451.4953893795755</v>
          </cell>
          <cell r="AF50">
            <v>12364.069051262051</v>
          </cell>
          <cell r="AG50">
            <v>2964.5438332760277</v>
          </cell>
          <cell r="AH50">
            <v>7306.79529708066</v>
          </cell>
        </row>
        <row r="52">
          <cell r="C52">
            <v>18549.079301758764</v>
          </cell>
          <cell r="D52">
            <v>14852.243751175534</v>
          </cell>
          <cell r="E52">
            <v>15798.9609580939</v>
          </cell>
          <cell r="F52">
            <v>14709.717725329052</v>
          </cell>
          <cell r="G52">
            <v>12910.391389861419</v>
          </cell>
          <cell r="H52">
            <v>10856.38306414338</v>
          </cell>
          <cell r="I52">
            <v>13762.267952162583</v>
          </cell>
          <cell r="J52">
            <v>23473.859570811921</v>
          </cell>
          <cell r="K52">
            <v>19510.436236462123</v>
          </cell>
          <cell r="L52">
            <v>16945.505531914929</v>
          </cell>
          <cell r="N52">
            <v>9486.6319158766037</v>
          </cell>
          <cell r="O52">
            <v>7979.3578977341522</v>
          </cell>
          <cell r="P52">
            <v>12551.266869957768</v>
          </cell>
          <cell r="Q52">
            <v>10184.83974723889</v>
          </cell>
          <cell r="R52">
            <v>7344.7461374584245</v>
          </cell>
          <cell r="S52">
            <v>8522.9841691292313</v>
          </cell>
          <cell r="T52">
            <v>7928.6232038241051</v>
          </cell>
          <cell r="U52">
            <v>13867.742662813285</v>
          </cell>
          <cell r="V52">
            <v>12653.876646946024</v>
          </cell>
          <cell r="W52">
            <v>9976.9904719757833</v>
          </cell>
          <cell r="Y52">
            <v>6191.5644859606555</v>
          </cell>
          <cell r="Z52">
            <v>6501.2905944411386</v>
          </cell>
          <cell r="AA52">
            <v>10469.948325540872</v>
          </cell>
          <cell r="AB52">
            <v>7711.7539999800347</v>
          </cell>
          <cell r="AC52">
            <v>8243.4529099458287</v>
          </cell>
          <cell r="AD52">
            <v>15711.466255043393</v>
          </cell>
          <cell r="AE52">
            <v>12891.181709810258</v>
          </cell>
          <cell r="AF52">
            <v>13812.385094642283</v>
          </cell>
          <cell r="AG52">
            <v>5154.2766454303701</v>
          </cell>
          <cell r="AH52">
            <v>9882.4941489214525</v>
          </cell>
        </row>
        <row r="53">
          <cell r="C53">
            <v>374878.76254021475</v>
          </cell>
          <cell r="D53">
            <v>223792.40786302663</v>
          </cell>
          <cell r="E53">
            <v>308188.23108561232</v>
          </cell>
          <cell r="F53">
            <v>368231.5270310482</v>
          </cell>
          <cell r="G53">
            <v>242482.10234531123</v>
          </cell>
          <cell r="H53">
            <v>207077.34315951561</v>
          </cell>
          <cell r="I53">
            <v>308496.57170453999</v>
          </cell>
          <cell r="J53">
            <v>588337.98351085745</v>
          </cell>
          <cell r="K53">
            <v>462263.3916508641</v>
          </cell>
          <cell r="L53">
            <v>363551.67003320204</v>
          </cell>
          <cell r="N53">
            <v>149600.12976201292</v>
          </cell>
          <cell r="O53">
            <v>83519.261117894101</v>
          </cell>
          <cell r="P53">
            <v>101757.43522613301</v>
          </cell>
          <cell r="Q53">
            <v>176870.40185703576</v>
          </cell>
          <cell r="R53">
            <v>90717.387800353579</v>
          </cell>
          <cell r="S53">
            <v>105167.22623063358</v>
          </cell>
          <cell r="T53">
            <v>97881.210099422329</v>
          </cell>
          <cell r="U53">
            <v>214386.92677068734</v>
          </cell>
          <cell r="V53">
            <v>196309.075236581</v>
          </cell>
          <cell r="W53">
            <v>144130.10514663107</v>
          </cell>
          <cell r="Y53">
            <v>66587.541579862984</v>
          </cell>
          <cell r="Z53">
            <v>61499.474647203417</v>
          </cell>
          <cell r="AA53">
            <v>136164.64862982708</v>
          </cell>
          <cell r="AB53">
            <v>110756.17393323132</v>
          </cell>
          <cell r="AC53">
            <v>154323.54683933905</v>
          </cell>
          <cell r="AD53">
            <v>147618.49971694942</v>
          </cell>
          <cell r="AE53">
            <v>94134.826216477508</v>
          </cell>
          <cell r="AF53">
            <v>157742.7689545223</v>
          </cell>
          <cell r="AG53">
            <v>46082.502656050216</v>
          </cell>
          <cell r="AH53">
            <v>88797.254811817518</v>
          </cell>
        </row>
        <row r="54">
          <cell r="C54">
            <v>154214.30688090334</v>
          </cell>
          <cell r="D54">
            <v>103442.03240790006</v>
          </cell>
          <cell r="E54">
            <v>166776.60004694699</v>
          </cell>
          <cell r="F54">
            <v>122791.9504620494</v>
          </cell>
          <cell r="G54">
            <v>115005.35709783949</v>
          </cell>
          <cell r="H54">
            <v>121167.21057463647</v>
          </cell>
          <cell r="I54">
            <v>134656.2874751309</v>
          </cell>
          <cell r="J54">
            <v>185311.6505470699</v>
          </cell>
          <cell r="K54">
            <v>177556.37001726418</v>
          </cell>
          <cell r="L54">
            <v>143204.71055715348</v>
          </cell>
          <cell r="N54">
            <v>93658.994010172391</v>
          </cell>
          <cell r="O54">
            <v>45188.864891384117</v>
          </cell>
          <cell r="P54">
            <v>59800.122521536934</v>
          </cell>
          <cell r="Q54">
            <v>104636.20392227761</v>
          </cell>
          <cell r="R54">
            <v>59257.924644463375</v>
          </cell>
          <cell r="S54">
            <v>84905.360304365269</v>
          </cell>
          <cell r="T54">
            <v>56833.095521902054</v>
          </cell>
          <cell r="U54">
            <v>117926.25636760265</v>
          </cell>
          <cell r="V54">
            <v>114519.64507475871</v>
          </cell>
          <cell r="W54">
            <v>79309.931923324082</v>
          </cell>
          <cell r="Y54">
            <v>44447.375722087592</v>
          </cell>
          <cell r="Z54">
            <v>35413.298870128179</v>
          </cell>
          <cell r="AA54">
            <v>88064.446040649855</v>
          </cell>
          <cell r="AB54">
            <v>62727.181453667814</v>
          </cell>
          <cell r="AC54">
            <v>71737.795689796461</v>
          </cell>
          <cell r="AD54">
            <v>71737.769920959341</v>
          </cell>
          <cell r="AE54">
            <v>48112.362607294934</v>
          </cell>
          <cell r="AF54">
            <v>85905.889234187867</v>
          </cell>
          <cell r="AG54">
            <v>28719.949886236907</v>
          </cell>
          <cell r="AH54">
            <v>46812.367190951496</v>
          </cell>
        </row>
        <row r="55">
          <cell r="C55">
            <v>1155.4619606721274</v>
          </cell>
          <cell r="D55">
            <v>978.44294437701387</v>
          </cell>
          <cell r="E55">
            <v>1745.35237693355</v>
          </cell>
          <cell r="F55">
            <v>1061.6735503047448</v>
          </cell>
          <cell r="G55">
            <v>1283.9232561912409</v>
          </cell>
          <cell r="H55">
            <v>842.01440906651135</v>
          </cell>
          <cell r="I55">
            <v>1557.4576882527654</v>
          </cell>
          <cell r="J55">
            <v>1246.4253125164505</v>
          </cell>
          <cell r="K55">
            <v>1327.0331236825959</v>
          </cell>
          <cell r="L55">
            <v>1214.7015683107984</v>
          </cell>
          <cell r="N55">
            <v>851.48375477199625</v>
          </cell>
          <cell r="O55">
            <v>1018.6748425924839</v>
          </cell>
          <cell r="P55">
            <v>831.15931692890058</v>
          </cell>
          <cell r="Q55">
            <v>1505.2594292670242</v>
          </cell>
          <cell r="R55">
            <v>979.27741176948905</v>
          </cell>
          <cell r="S55">
            <v>454.48801929215119</v>
          </cell>
          <cell r="T55">
            <v>674.652654305027</v>
          </cell>
          <cell r="U55">
            <v>1658.6986713115821</v>
          </cell>
          <cell r="V55">
            <v>1645.1863589708014</v>
          </cell>
          <cell r="W55">
            <v>1096.0918155389502</v>
          </cell>
          <cell r="Y55">
            <v>765.89464707245213</v>
          </cell>
          <cell r="Z55">
            <v>932.31080961173848</v>
          </cell>
          <cell r="AA55">
            <v>1090.9743725948003</v>
          </cell>
          <cell r="AB55">
            <v>786.77274650716458</v>
          </cell>
          <cell r="AC55">
            <v>1271.3787549656834</v>
          </cell>
          <cell r="AD55">
            <v>725.32937939810438</v>
          </cell>
          <cell r="AE55">
            <v>363.62589770571827</v>
          </cell>
          <cell r="AF55">
            <v>1212.9873997903505</v>
          </cell>
          <cell r="AG55">
            <v>632.65761999527933</v>
          </cell>
          <cell r="AH55">
            <v>434.48537654660936</v>
          </cell>
        </row>
        <row r="56">
          <cell r="C56">
            <v>7280.4004058916507</v>
          </cell>
          <cell r="D56">
            <v>5257.6790969950434</v>
          </cell>
          <cell r="E56">
            <v>8535.7183597834774</v>
          </cell>
          <cell r="F56">
            <v>6549.4909821407509</v>
          </cell>
          <cell r="G56">
            <v>5899.2361948195658</v>
          </cell>
          <cell r="H56">
            <v>6147.9372617723393</v>
          </cell>
          <cell r="I56">
            <v>7112.7150294109688</v>
          </cell>
          <cell r="J56">
            <v>8838.2072428982683</v>
          </cell>
          <cell r="K56">
            <v>9060.4886854731012</v>
          </cell>
          <cell r="L56">
            <v>7347.2471561337979</v>
          </cell>
          <cell r="N56">
            <v>4414.1520370899098</v>
          </cell>
          <cell r="O56">
            <v>2244.7129880411576</v>
          </cell>
          <cell r="P56">
            <v>3022.4289749783288</v>
          </cell>
          <cell r="Q56">
            <v>5011.2199405825995</v>
          </cell>
          <cell r="R56">
            <v>2871.3654716609581</v>
          </cell>
          <cell r="S56">
            <v>3866.6578350833438</v>
          </cell>
          <cell r="T56">
            <v>2985.7776775140933</v>
          </cell>
          <cell r="U56">
            <v>6332.0655467735241</v>
          </cell>
          <cell r="V56">
            <v>6288.8058775025738</v>
          </cell>
          <cell r="W56">
            <v>3938.4913890286157</v>
          </cell>
          <cell r="Y56">
            <v>1990.3204382044748</v>
          </cell>
          <cell r="Z56">
            <v>1453.1421395229067</v>
          </cell>
          <cell r="AA56">
            <v>3817.746796004883</v>
          </cell>
          <cell r="AB56">
            <v>3176.4162577325105</v>
          </cell>
          <cell r="AC56">
            <v>4409.7083510303828</v>
          </cell>
          <cell r="AD56">
            <v>3225.6456494201975</v>
          </cell>
          <cell r="AE56">
            <v>1998.5834339603848</v>
          </cell>
          <cell r="AF56">
            <v>4007.7542709342388</v>
          </cell>
          <cell r="AG56">
            <v>1251.0693746256745</v>
          </cell>
          <cell r="AH56">
            <v>1966.489135238802</v>
          </cell>
        </row>
        <row r="57">
          <cell r="C57">
            <v>65.102422707583784</v>
          </cell>
          <cell r="D57">
            <v>140.78597555284563</v>
          </cell>
          <cell r="E57">
            <v>738.51911167628577</v>
          </cell>
          <cell r="F57">
            <v>503.50694438938734</v>
          </cell>
          <cell r="G57">
            <v>307.64169178584285</v>
          </cell>
          <cell r="H57">
            <v>309.89484825708195</v>
          </cell>
          <cell r="I57">
            <v>643.71907629384134</v>
          </cell>
          <cell r="J57">
            <v>281.95971505058259</v>
          </cell>
          <cell r="K57">
            <v>205.7517128547579</v>
          </cell>
          <cell r="L57">
            <v>95.830275276472577</v>
          </cell>
          <cell r="N57">
            <v>114.07276424104278</v>
          </cell>
          <cell r="O57">
            <v>141.76821423493584</v>
          </cell>
          <cell r="P57">
            <v>148.04011118926806</v>
          </cell>
          <cell r="Q57">
            <v>191.77641392970901</v>
          </cell>
          <cell r="R57">
            <v>138.27034231274521</v>
          </cell>
          <cell r="S57">
            <v>59.539146579485255</v>
          </cell>
          <cell r="T57">
            <v>89.131943311668365</v>
          </cell>
          <cell r="U57">
            <v>178.68667928841219</v>
          </cell>
          <cell r="V57">
            <v>225.93217734703538</v>
          </cell>
          <cell r="W57">
            <v>154.96836822019446</v>
          </cell>
          <cell r="Y57">
            <v>135.43212203985797</v>
          </cell>
          <cell r="Z57">
            <v>194.35479082253423</v>
          </cell>
          <cell r="AA57">
            <v>146.35291610097639</v>
          </cell>
          <cell r="AB57">
            <v>113.72330130563951</v>
          </cell>
          <cell r="AC57">
            <v>202.15392073874193</v>
          </cell>
          <cell r="AD57">
            <v>120.89093372846926</v>
          </cell>
          <cell r="AE57">
            <v>79.546603074914884</v>
          </cell>
          <cell r="AF57">
            <v>189.28784585881823</v>
          </cell>
          <cell r="AG57">
            <v>144.94850701171086</v>
          </cell>
          <cell r="AH57">
            <v>69.751962332603085</v>
          </cell>
        </row>
        <row r="58">
          <cell r="C58">
            <v>8826.555310964206</v>
          </cell>
          <cell r="D58">
            <v>5552.9857074619758</v>
          </cell>
          <cell r="E58">
            <v>9436.5151941538988</v>
          </cell>
          <cell r="F58">
            <v>8661.7971179813358</v>
          </cell>
          <cell r="G58">
            <v>9447.673395494854</v>
          </cell>
          <cell r="H58">
            <v>7147.6760373290135</v>
          </cell>
          <cell r="I58">
            <v>6146.9185703160165</v>
          </cell>
          <cell r="J58">
            <v>16811.932958036406</v>
          </cell>
          <cell r="K58">
            <v>10344.261579689914</v>
          </cell>
          <cell r="L58">
            <v>8647.2328377367139</v>
          </cell>
          <cell r="N58">
            <v>5283.1559174430613</v>
          </cell>
          <cell r="O58">
            <v>2986.9491967998979</v>
          </cell>
          <cell r="P58">
            <v>2520.6605867214557</v>
          </cell>
          <cell r="Q58">
            <v>6213.5507813542208</v>
          </cell>
          <cell r="R58">
            <v>3545.4156092307517</v>
          </cell>
          <cell r="S58">
            <v>3852.0695148309883</v>
          </cell>
          <cell r="T58">
            <v>3727.4478222666989</v>
          </cell>
          <cell r="U58">
            <v>6424.3833747637536</v>
          </cell>
          <cell r="V58">
            <v>6215.8885520712602</v>
          </cell>
          <cell r="W58">
            <v>5489.2986127310924</v>
          </cell>
          <cell r="Y58">
            <v>2095.5862646345795</v>
          </cell>
          <cell r="Z58">
            <v>2236.0003599895072</v>
          </cell>
          <cell r="AA58">
            <v>4511.5192032432369</v>
          </cell>
          <cell r="AB58">
            <v>4031.6007069676434</v>
          </cell>
          <cell r="AC58">
            <v>5299.4017262839861</v>
          </cell>
          <cell r="AD58">
            <v>3144.936718044954</v>
          </cell>
          <cell r="AE58">
            <v>1861.4449236454946</v>
          </cell>
          <cell r="AF58">
            <v>6004.5758159339648</v>
          </cell>
          <cell r="AG58">
            <v>1936.9417772168606</v>
          </cell>
          <cell r="AH58">
            <v>1736.3032277885957</v>
          </cell>
        </row>
        <row r="59">
          <cell r="C59">
            <v>220.24841205037248</v>
          </cell>
          <cell r="D59">
            <v>109.47084970503883</v>
          </cell>
          <cell r="E59">
            <v>985.49678639356239</v>
          </cell>
          <cell r="F59">
            <v>364.1795605037575</v>
          </cell>
          <cell r="G59">
            <v>414.78521308870523</v>
          </cell>
          <cell r="H59">
            <v>326.1140711678753</v>
          </cell>
          <cell r="I59">
            <v>513.64658270265772</v>
          </cell>
          <cell r="J59">
            <v>237.52567015760653</v>
          </cell>
          <cell r="K59">
            <v>125.96769936834298</v>
          </cell>
          <cell r="L59">
            <v>92.678711506376331</v>
          </cell>
          <cell r="N59">
            <v>50.621928433485536</v>
          </cell>
          <cell r="O59">
            <v>38.407981111899836</v>
          </cell>
          <cell r="P59">
            <v>43.728758788652968</v>
          </cell>
          <cell r="Q59">
            <v>46.128710962363385</v>
          </cell>
          <cell r="R59">
            <v>41.311603051641733</v>
          </cell>
          <cell r="S59">
            <v>59.423836041563597</v>
          </cell>
          <cell r="T59">
            <v>42.042325276247723</v>
          </cell>
          <cell r="U59">
            <v>42.926397242393882</v>
          </cell>
          <cell r="V59">
            <v>53.920302372730305</v>
          </cell>
          <cell r="W59">
            <v>38.838645496522602</v>
          </cell>
          <cell r="Y59">
            <v>36.461720426712617</v>
          </cell>
          <cell r="Z59">
            <v>43.97170820394205</v>
          </cell>
          <cell r="AA59">
            <v>41.645824310627049</v>
          </cell>
          <cell r="AB59">
            <v>40.467273056844775</v>
          </cell>
          <cell r="AC59">
            <v>36.634336758819465</v>
          </cell>
          <cell r="AD59">
            <v>27.418994742529158</v>
          </cell>
          <cell r="AE59">
            <v>37.518020577932809</v>
          </cell>
          <cell r="AF59">
            <v>34.800879980387911</v>
          </cell>
          <cell r="AG59">
            <v>28.269162966538211</v>
          </cell>
          <cell r="AH59">
            <v>44.884447735267386</v>
          </cell>
        </row>
        <row r="60">
          <cell r="C60">
            <v>1716.3846364258984</v>
          </cell>
          <cell r="D60">
            <v>1140.3975703029316</v>
          </cell>
          <cell r="E60">
            <v>3186.8372345233133</v>
          </cell>
          <cell r="F60">
            <v>1337.5643149263628</v>
          </cell>
          <cell r="G60">
            <v>1879.8237359034731</v>
          </cell>
          <cell r="H60">
            <v>1364.092619556568</v>
          </cell>
          <cell r="I60">
            <v>1986.2341893007699</v>
          </cell>
          <cell r="J60">
            <v>1443.8778500357719</v>
          </cell>
          <cell r="K60">
            <v>2193.7118905677899</v>
          </cell>
          <cell r="L60">
            <v>1911.6710708275045</v>
          </cell>
          <cell r="N60">
            <v>794.35450316180368</v>
          </cell>
          <cell r="O60">
            <v>332.10293923180194</v>
          </cell>
          <cell r="P60">
            <v>269.69191292171837</v>
          </cell>
          <cell r="Q60">
            <v>1177.985715836629</v>
          </cell>
          <cell r="R60">
            <v>626.75521043666834</v>
          </cell>
          <cell r="S60">
            <v>783.25001187158887</v>
          </cell>
          <cell r="T60">
            <v>550.47317330586543</v>
          </cell>
          <cell r="U60">
            <v>1346.2635408028661</v>
          </cell>
          <cell r="V60">
            <v>1152.6561307443881</v>
          </cell>
          <cell r="W60">
            <v>953.88790620201746</v>
          </cell>
          <cell r="Y60">
            <v>254.30154011220213</v>
          </cell>
          <cell r="Z60">
            <v>255.91093394712928</v>
          </cell>
          <cell r="AA60">
            <v>816.03874328729864</v>
          </cell>
          <cell r="AB60">
            <v>734.32840830270368</v>
          </cell>
          <cell r="AC60">
            <v>1089.3037310600505</v>
          </cell>
          <cell r="AD60">
            <v>615.70305918517067</v>
          </cell>
          <cell r="AE60">
            <v>181.99789975741666</v>
          </cell>
          <cell r="AF60">
            <v>1048.2051674183554</v>
          </cell>
          <cell r="AG60">
            <v>255.08244181330369</v>
          </cell>
          <cell r="AH60">
            <v>247.00596644839248</v>
          </cell>
        </row>
        <row r="61">
          <cell r="C61">
            <v>24.86377636783326</v>
          </cell>
          <cell r="D61">
            <v>94.292139147904663</v>
          </cell>
          <cell r="E61">
            <v>927.97337115191408</v>
          </cell>
          <cell r="F61">
            <v>283.43435849602167</v>
          </cell>
          <cell r="G61">
            <v>382.60365991119414</v>
          </cell>
          <cell r="H61">
            <v>238.95966671946252</v>
          </cell>
          <cell r="I61">
            <v>627.25590499752843</v>
          </cell>
          <cell r="J61">
            <v>231.15080484649317</v>
          </cell>
          <cell r="K61">
            <v>152.21048272600049</v>
          </cell>
          <cell r="L61">
            <v>32.979720699546235</v>
          </cell>
          <cell r="N61">
            <v>25.293585694799269</v>
          </cell>
          <cell r="O61">
            <v>26.040296185943827</v>
          </cell>
          <cell r="P61">
            <v>33.508749507197329</v>
          </cell>
          <cell r="Q61">
            <v>37.732846533821231</v>
          </cell>
          <cell r="R61">
            <v>22.24904595841782</v>
          </cell>
          <cell r="S61">
            <v>18.569339841065606</v>
          </cell>
          <cell r="T61">
            <v>24.524908132416968</v>
          </cell>
          <cell r="U61">
            <v>27.869021001290722</v>
          </cell>
          <cell r="V61">
            <v>46.311803728524865</v>
          </cell>
          <cell r="W61">
            <v>31.194165552544131</v>
          </cell>
          <cell r="Y61">
            <v>19.89452968266804</v>
          </cell>
          <cell r="Z61">
            <v>32.423063555349344</v>
          </cell>
          <cell r="AA61">
            <v>36.266375444334884</v>
          </cell>
          <cell r="AB61">
            <v>36.237515001439895</v>
          </cell>
          <cell r="AC61">
            <v>32.032208867436516</v>
          </cell>
          <cell r="AD61">
            <v>33.110323334673488</v>
          </cell>
          <cell r="AE61">
            <v>36.010949890316439</v>
          </cell>
          <cell r="AF61">
            <v>26.953808509500753</v>
          </cell>
          <cell r="AG61">
            <v>22.226184840904686</v>
          </cell>
          <cell r="AH61">
            <v>22.881933739873993</v>
          </cell>
        </row>
        <row r="62">
          <cell r="C62">
            <v>13081.048008611593</v>
          </cell>
          <cell r="D62">
            <v>7815.6672442902482</v>
          </cell>
          <cell r="E62">
            <v>13986.167578818984</v>
          </cell>
          <cell r="F62">
            <v>8842.9318116652685</v>
          </cell>
          <cell r="G62">
            <v>12012.56081022131</v>
          </cell>
          <cell r="H62">
            <v>10883.765157959006</v>
          </cell>
          <cell r="I62">
            <v>10693.997065086958</v>
          </cell>
          <cell r="J62">
            <v>20253.764231698806</v>
          </cell>
          <cell r="K62">
            <v>12997.560772776915</v>
          </cell>
          <cell r="L62">
            <v>11994.465785783494</v>
          </cell>
          <cell r="N62">
            <v>7296.5617424749053</v>
          </cell>
          <cell r="O62">
            <v>3113.9781572134598</v>
          </cell>
          <cell r="P62">
            <v>1744.3140559309998</v>
          </cell>
          <cell r="Q62">
            <v>7441.1561741216019</v>
          </cell>
          <cell r="R62">
            <v>3892.0401515400545</v>
          </cell>
          <cell r="S62">
            <v>6171.2288453975743</v>
          </cell>
          <cell r="T62">
            <v>4342.2856703750449</v>
          </cell>
          <cell r="U62">
            <v>8603.3623909710932</v>
          </cell>
          <cell r="V62">
            <v>7858.7049831837985</v>
          </cell>
          <cell r="W62">
            <v>5704.7925845771288</v>
          </cell>
          <cell r="Y62">
            <v>2529.3590947239222</v>
          </cell>
          <cell r="Z62">
            <v>2528.5757130154411</v>
          </cell>
          <cell r="AA62">
            <v>7231.0299892357252</v>
          </cell>
          <cell r="AB62">
            <v>4721.055770533495</v>
          </cell>
          <cell r="AC62">
            <v>6242.3210715002961</v>
          </cell>
          <cell r="AD62">
            <v>3918.7500507775312</v>
          </cell>
          <cell r="AE62">
            <v>1694.1664695413133</v>
          </cell>
          <cell r="AF62">
            <v>6739.9161390578274</v>
          </cell>
          <cell r="AG62">
            <v>1383.8085423695411</v>
          </cell>
          <cell r="AH62">
            <v>2118.8847391598224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 Venn Diagram (ALL)"/>
      <sheetName val="R SkM - PUFA"/>
      <sheetName val="R SkM - TAG"/>
      <sheetName val="R SkM - TAG (ordered)"/>
      <sheetName val="R SkM - DAG"/>
      <sheetName val="R SkM - DAG (ordered)"/>
      <sheetName val="R SkM - Ceramide"/>
      <sheetName val="R SkM - Ceramide (ordered)"/>
      <sheetName val="SkM - GC Results (mmol kg)"/>
      <sheetName val="SkM - GC Results (nmol g)"/>
      <sheetName val="SkM - TAG"/>
      <sheetName val="SkM - DAG"/>
      <sheetName val="SkM - Ceram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C4">
            <v>23.349896873228893</v>
          </cell>
          <cell r="D4">
            <v>18.360551936101533</v>
          </cell>
          <cell r="E4">
            <v>22.831251339103236</v>
          </cell>
          <cell r="F4">
            <v>26.660759779677402</v>
          </cell>
          <cell r="G4">
            <v>24.183001616440219</v>
          </cell>
          <cell r="H4">
            <v>23.081705738994764</v>
          </cell>
          <cell r="I4">
            <v>27.201815385383973</v>
          </cell>
          <cell r="J4">
            <v>23.513173787819458</v>
          </cell>
          <cell r="K4">
            <v>32.482850885167643</v>
          </cell>
          <cell r="L4">
            <v>21.194174625800972</v>
          </cell>
          <cell r="N4">
            <v>24.274666326134582</v>
          </cell>
          <cell r="O4">
            <v>33.903446318868035</v>
          </cell>
          <cell r="R4">
            <v>23.649199074420828</v>
          </cell>
          <cell r="S4">
            <v>16.158575161549994</v>
          </cell>
          <cell r="T4">
            <v>17.075474434253042</v>
          </cell>
          <cell r="U4">
            <v>14.256283336313233</v>
          </cell>
          <cell r="V4">
            <v>17.422444004073537</v>
          </cell>
          <cell r="W4">
            <v>19.688416600693341</v>
          </cell>
          <cell r="Y4">
            <v>14.6599800899114</v>
          </cell>
          <cell r="Z4">
            <v>25.786714468330693</v>
          </cell>
          <cell r="AA4">
            <v>14.997155818227935</v>
          </cell>
          <cell r="AB4">
            <v>20.219813798042896</v>
          </cell>
          <cell r="AC4">
            <v>20.684904069133236</v>
          </cell>
          <cell r="AD4">
            <v>21.57104235262581</v>
          </cell>
          <cell r="AE4">
            <v>48.77495929384316</v>
          </cell>
          <cell r="AF4">
            <v>24.741227094151046</v>
          </cell>
          <cell r="AG4">
            <v>22.872036018453613</v>
          </cell>
          <cell r="AH4">
            <v>22.547199378741787</v>
          </cell>
        </row>
        <row r="6">
          <cell r="C6">
            <v>292.76744790431053</v>
          </cell>
          <cell r="D6">
            <v>157.38098556363093</v>
          </cell>
          <cell r="E6">
            <v>242.6703683823518</v>
          </cell>
          <cell r="F6">
            <v>239.2322424572813</v>
          </cell>
          <cell r="G6">
            <v>207.65827438339798</v>
          </cell>
          <cell r="H6">
            <v>209.1041117036865</v>
          </cell>
          <cell r="I6">
            <v>180.37062792831415</v>
          </cell>
          <cell r="J6">
            <v>204.08426533843982</v>
          </cell>
          <cell r="K6">
            <v>194.44063031182472</v>
          </cell>
          <cell r="L6">
            <v>194.50999808062511</v>
          </cell>
          <cell r="N6">
            <v>190.23412176872662</v>
          </cell>
          <cell r="O6">
            <v>224.819618789966</v>
          </cell>
          <cell r="R6">
            <v>179.5998666655056</v>
          </cell>
          <cell r="S6">
            <v>120.8046383749832</v>
          </cell>
          <cell r="T6">
            <v>127.99044243654997</v>
          </cell>
          <cell r="U6">
            <v>101.4533381940057</v>
          </cell>
          <cell r="V6">
            <v>142.8265145308325</v>
          </cell>
          <cell r="W6">
            <v>125.66211941456967</v>
          </cell>
          <cell r="Y6">
            <v>156.05844927544234</v>
          </cell>
          <cell r="Z6">
            <v>198.24311755163183</v>
          </cell>
          <cell r="AA6">
            <v>199.06424124618476</v>
          </cell>
          <cell r="AB6">
            <v>192.302597983509</v>
          </cell>
          <cell r="AC6">
            <v>228.25979477110113</v>
          </cell>
          <cell r="AD6">
            <v>243.94320825389954</v>
          </cell>
          <cell r="AE6">
            <v>553.09930183655274</v>
          </cell>
          <cell r="AF6">
            <v>199.96231486446911</v>
          </cell>
          <cell r="AG6">
            <v>178.89179041842326</v>
          </cell>
          <cell r="AH6">
            <v>145.87667735861493</v>
          </cell>
        </row>
        <row r="7">
          <cell r="C7">
            <v>15.936067122231174</v>
          </cell>
          <cell r="D7">
            <v>14.42084581390065</v>
          </cell>
          <cell r="E7">
            <v>18.617391335151083</v>
          </cell>
          <cell r="F7">
            <v>21.013035349039249</v>
          </cell>
          <cell r="G7">
            <v>18.600638231750672</v>
          </cell>
          <cell r="H7">
            <v>16.210382331480506</v>
          </cell>
          <cell r="I7">
            <v>21.694982376050415</v>
          </cell>
          <cell r="J7">
            <v>20.638974356650937</v>
          </cell>
          <cell r="K7">
            <v>20.959389035183612</v>
          </cell>
          <cell r="L7">
            <v>22.510634275804829</v>
          </cell>
          <cell r="N7">
            <v>17.116593218301876</v>
          </cell>
          <cell r="O7">
            <v>21.643932357710142</v>
          </cell>
          <cell r="R7">
            <v>14.828447794997283</v>
          </cell>
          <cell r="S7">
            <v>13.4083752801613</v>
          </cell>
          <cell r="T7">
            <v>12.485647011393414</v>
          </cell>
          <cell r="U7">
            <v>12.969931381710198</v>
          </cell>
          <cell r="V7">
            <v>17.87115449092045</v>
          </cell>
          <cell r="W7">
            <v>12.253087489527513</v>
          </cell>
          <cell r="Y7">
            <v>13.150639564188216</v>
          </cell>
          <cell r="Z7">
            <v>21.014613177767711</v>
          </cell>
          <cell r="AA7">
            <v>14.644361937494637</v>
          </cell>
          <cell r="AB7">
            <v>16.100679821258097</v>
          </cell>
          <cell r="AC7">
            <v>19.963250822292171</v>
          </cell>
          <cell r="AD7">
            <v>17.091608201176623</v>
          </cell>
          <cell r="AE7">
            <v>23.383544067142559</v>
          </cell>
          <cell r="AF7">
            <v>11.212919955224484</v>
          </cell>
          <cell r="AG7">
            <v>10.866636877217838</v>
          </cell>
          <cell r="AH7">
            <v>15.475737291456683</v>
          </cell>
        </row>
        <row r="8">
          <cell r="C8">
            <v>277.29298672331907</v>
          </cell>
          <cell r="D8">
            <v>221.86875715652909</v>
          </cell>
          <cell r="E8">
            <v>262.35788439110945</v>
          </cell>
          <cell r="F8">
            <v>266.34819236172217</v>
          </cell>
          <cell r="G8">
            <v>269.75266980884595</v>
          </cell>
          <cell r="H8">
            <v>219.17542916154633</v>
          </cell>
          <cell r="I8">
            <v>218.2331147502</v>
          </cell>
          <cell r="J8">
            <v>226.18715615018982</v>
          </cell>
          <cell r="K8">
            <v>252.96264293111363</v>
          </cell>
          <cell r="L8">
            <v>245.83725869111129</v>
          </cell>
          <cell r="N8">
            <v>268.15170375268281</v>
          </cell>
          <cell r="O8">
            <v>271.95994632691668</v>
          </cell>
          <cell r="R8">
            <v>158.0741594195764</v>
          </cell>
          <cell r="S8">
            <v>133.85616511871658</v>
          </cell>
          <cell r="T8">
            <v>224.17423374512535</v>
          </cell>
          <cell r="U8">
            <v>156.20853074015005</v>
          </cell>
          <cell r="V8">
            <v>158.15759885151019</v>
          </cell>
          <cell r="W8">
            <v>165.65038880328626</v>
          </cell>
          <cell r="Y8">
            <v>168.49879847069221</v>
          </cell>
          <cell r="Z8">
            <v>172.65743885871856</v>
          </cell>
          <cell r="AA8">
            <v>232.03132568376253</v>
          </cell>
          <cell r="AB8">
            <v>202.67032657790887</v>
          </cell>
          <cell r="AC8">
            <v>196.76153090868485</v>
          </cell>
          <cell r="AD8">
            <v>232.08548861842112</v>
          </cell>
          <cell r="AE8">
            <v>442.38121757769244</v>
          </cell>
          <cell r="AF8">
            <v>197.73197279626126</v>
          </cell>
          <cell r="AG8">
            <v>212.31998877599668</v>
          </cell>
          <cell r="AH8">
            <v>158.59862219565719</v>
          </cell>
        </row>
        <row r="9">
          <cell r="C9">
            <v>48.966166947745727</v>
          </cell>
          <cell r="D9">
            <v>39.486807074671439</v>
          </cell>
          <cell r="E9">
            <v>55.72062979646153</v>
          </cell>
          <cell r="F9">
            <v>69.105497504099731</v>
          </cell>
          <cell r="G9">
            <v>57.248469582841246</v>
          </cell>
          <cell r="H9">
            <v>51.906911448960784</v>
          </cell>
          <cell r="I9">
            <v>57.426577651247968</v>
          </cell>
          <cell r="J9">
            <v>53.15928052266635</v>
          </cell>
          <cell r="K9">
            <v>57.147798921793289</v>
          </cell>
          <cell r="L9">
            <v>64.786058632324085</v>
          </cell>
          <cell r="N9">
            <v>64.490120455697195</v>
          </cell>
          <cell r="O9">
            <v>67.204228176247184</v>
          </cell>
          <cell r="R9">
            <v>48.193353222926824</v>
          </cell>
          <cell r="S9">
            <v>40.455643901310943</v>
          </cell>
          <cell r="T9">
            <v>43.395814470821051</v>
          </cell>
          <cell r="U9">
            <v>36.998006138382443</v>
          </cell>
          <cell r="V9">
            <v>53.920875384468182</v>
          </cell>
          <cell r="W9">
            <v>46.520693954841605</v>
          </cell>
          <cell r="Y9">
            <v>42.347748880297829</v>
          </cell>
          <cell r="Z9">
            <v>65.138375729059547</v>
          </cell>
          <cell r="AA9">
            <v>55.558496691974923</v>
          </cell>
          <cell r="AB9">
            <v>58.601653488309069</v>
          </cell>
          <cell r="AC9">
            <v>77.112887675754635</v>
          </cell>
          <cell r="AD9">
            <v>63.80704440883602</v>
          </cell>
          <cell r="AE9">
            <v>62.319431042473006</v>
          </cell>
          <cell r="AF9">
            <v>35.321236252745308</v>
          </cell>
          <cell r="AG9">
            <v>36.6528173889375</v>
          </cell>
          <cell r="AH9">
            <v>42.346823565813558</v>
          </cell>
        </row>
        <row r="10">
          <cell r="C10">
            <v>17.482968915109293</v>
          </cell>
          <cell r="D10">
            <v>18.587534245173863</v>
          </cell>
          <cell r="E10">
            <v>23.227220862416438</v>
          </cell>
          <cell r="F10">
            <v>44.117602966895831</v>
          </cell>
          <cell r="G10">
            <v>16.390679919659103</v>
          </cell>
          <cell r="H10">
            <v>27.617438434003599</v>
          </cell>
          <cell r="I10">
            <v>1.4666558489716737</v>
          </cell>
          <cell r="J10">
            <v>2.3764145670834131</v>
          </cell>
          <cell r="K10">
            <v>0.79162501193318835</v>
          </cell>
          <cell r="L10">
            <v>20.608331650309172</v>
          </cell>
          <cell r="N10">
            <v>2.6357523915424008</v>
          </cell>
          <cell r="O10">
            <v>24.615490681396071</v>
          </cell>
          <cell r="R10">
            <v>6.1675720706950843</v>
          </cell>
          <cell r="S10">
            <v>0.15948232240610946</v>
          </cell>
          <cell r="T10">
            <v>0</v>
          </cell>
          <cell r="U10">
            <v>0</v>
          </cell>
          <cell r="V10">
            <v>2.1097832589521395</v>
          </cell>
          <cell r="W10">
            <v>0</v>
          </cell>
          <cell r="Y10">
            <v>5.9548587329558611</v>
          </cell>
          <cell r="Z10">
            <v>12.218147589707804</v>
          </cell>
          <cell r="AA10">
            <v>48.757284378994406</v>
          </cell>
          <cell r="AB10">
            <v>19.370521218000249</v>
          </cell>
          <cell r="AC10">
            <v>17.952737312445603</v>
          </cell>
          <cell r="AD10">
            <v>28.879191815798432</v>
          </cell>
          <cell r="AE10">
            <v>6.1006414689089823</v>
          </cell>
          <cell r="AF10">
            <v>0</v>
          </cell>
          <cell r="AG10">
            <v>0.91350688549330294</v>
          </cell>
          <cell r="AH10">
            <v>0</v>
          </cell>
        </row>
        <row r="11">
          <cell r="C11">
            <v>11.150346330118733</v>
          </cell>
          <cell r="D11">
            <v>8.5720982308322462</v>
          </cell>
          <cell r="E11">
            <v>11.533091608884339</v>
          </cell>
          <cell r="F11">
            <v>13.500042814836823</v>
          </cell>
          <cell r="G11">
            <v>12.99474922582522</v>
          </cell>
          <cell r="H11">
            <v>11.080870990170585</v>
          </cell>
          <cell r="I11">
            <v>13.454644210540925</v>
          </cell>
          <cell r="J11">
            <v>14.640313594029788</v>
          </cell>
          <cell r="K11">
            <v>11.461135389343097</v>
          </cell>
          <cell r="L11">
            <v>12.139786629704099</v>
          </cell>
          <cell r="N11">
            <v>16.593877217495141</v>
          </cell>
          <cell r="O11">
            <v>18.197078528004933</v>
          </cell>
          <cell r="R11">
            <v>9.1338484500550994</v>
          </cell>
          <cell r="S11">
            <v>10.189097053422451</v>
          </cell>
          <cell r="T11">
            <v>10.948850568427382</v>
          </cell>
          <cell r="U11">
            <v>9.7638553638820138</v>
          </cell>
          <cell r="V11">
            <v>12.769731519677686</v>
          </cell>
          <cell r="W11">
            <v>9.8088775148609084</v>
          </cell>
          <cell r="Y11">
            <v>8.0611600102755467</v>
          </cell>
          <cell r="Z11">
            <v>10.724956168655821</v>
          </cell>
          <cell r="AA11">
            <v>9.647072259207075</v>
          </cell>
          <cell r="AB11">
            <v>11.42968492447601</v>
          </cell>
          <cell r="AC11">
            <v>15.089477187343608</v>
          </cell>
          <cell r="AD11">
            <v>10.687816915632359</v>
          </cell>
          <cell r="AE11">
            <v>14.914878821801915</v>
          </cell>
          <cell r="AF11">
            <v>8.3042430693577689</v>
          </cell>
          <cell r="AG11">
            <v>7.3445140650836604</v>
          </cell>
          <cell r="AH11">
            <v>9.0086835161134928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C13">
            <v>20.319299603549126</v>
          </cell>
          <cell r="D13">
            <v>17.748654560605967</v>
          </cell>
          <cell r="E13">
            <v>21.443326833699548</v>
          </cell>
          <cell r="F13">
            <v>31.366462679657804</v>
          </cell>
          <cell r="G13">
            <v>25.642322292003943</v>
          </cell>
          <cell r="H13">
            <v>24.72679157034613</v>
          </cell>
          <cell r="I13">
            <v>26.023930627965672</v>
          </cell>
          <cell r="J13">
            <v>27.769339619437634</v>
          </cell>
          <cell r="K13">
            <v>28.632702860177542</v>
          </cell>
          <cell r="L13">
            <v>26.815657328276295</v>
          </cell>
          <cell r="N13">
            <v>34.886986664970465</v>
          </cell>
          <cell r="O13">
            <v>29.61379968442705</v>
          </cell>
          <cell r="R13">
            <v>20.86264034202167</v>
          </cell>
          <cell r="S13">
            <v>24.198596212150235</v>
          </cell>
          <cell r="T13">
            <v>24.62656447361358</v>
          </cell>
          <cell r="U13">
            <v>23.024474874496129</v>
          </cell>
          <cell r="V13">
            <v>28.329034760829366</v>
          </cell>
          <cell r="W13">
            <v>25.149987662076416</v>
          </cell>
          <cell r="Y13">
            <v>17.493163587302938</v>
          </cell>
          <cell r="Z13">
            <v>25.67569224119692</v>
          </cell>
          <cell r="AA13">
            <v>20.399624638036695</v>
          </cell>
          <cell r="AB13">
            <v>24.09212244689332</v>
          </cell>
          <cell r="AC13">
            <v>25.512042913166248</v>
          </cell>
          <cell r="AD13">
            <v>25.679267345800881</v>
          </cell>
          <cell r="AE13">
            <v>33.438869158333389</v>
          </cell>
          <cell r="AF13">
            <v>17.651722408655683</v>
          </cell>
          <cell r="AG13">
            <v>16.874184776665174</v>
          </cell>
          <cell r="AH13">
            <v>24.779885092206296</v>
          </cell>
        </row>
        <row r="14">
          <cell r="C14">
            <v>43.339279107452469</v>
          </cell>
          <cell r="D14">
            <v>39.589141241435705</v>
          </cell>
          <cell r="E14">
            <v>63.05640926685367</v>
          </cell>
          <cell r="F14">
            <v>55.521028429734869</v>
          </cell>
          <cell r="G14">
            <v>31.528600811580496</v>
          </cell>
          <cell r="H14">
            <v>38.41841604702595</v>
          </cell>
          <cell r="I14">
            <v>15.463231560190502</v>
          </cell>
          <cell r="J14">
            <v>16.117191434546534</v>
          </cell>
          <cell r="K14">
            <v>17.904205130251754</v>
          </cell>
          <cell r="L14">
            <v>36.139216581277296</v>
          </cell>
          <cell r="N14">
            <v>27.010363370881077</v>
          </cell>
          <cell r="O14">
            <v>32.054341288538453</v>
          </cell>
          <cell r="R14">
            <v>15.637258540873535</v>
          </cell>
          <cell r="S14">
            <v>12.005872613360861</v>
          </cell>
          <cell r="T14">
            <v>12.489124740608373</v>
          </cell>
          <cell r="U14">
            <v>10.673386936474785</v>
          </cell>
          <cell r="V14">
            <v>17.226916074658959</v>
          </cell>
          <cell r="W14">
            <v>7.5872023208433772</v>
          </cell>
          <cell r="Y14">
            <v>24.141504242658929</v>
          </cell>
          <cell r="Z14">
            <v>31.183043669332669</v>
          </cell>
          <cell r="AA14">
            <v>48.253393067788252</v>
          </cell>
          <cell r="AB14">
            <v>32.65009205752024</v>
          </cell>
          <cell r="AC14">
            <v>38.186830626146126</v>
          </cell>
          <cell r="AD14">
            <v>46.386448510470828</v>
          </cell>
          <cell r="AE14">
            <v>25.417358088971664</v>
          </cell>
          <cell r="AF14">
            <v>13.445766126619136</v>
          </cell>
          <cell r="AG14">
            <v>13.072884857089015</v>
          </cell>
          <cell r="AH14">
            <v>12.139098252916792</v>
          </cell>
        </row>
        <row r="15">
          <cell r="C15">
            <v>21.04945596339596</v>
          </cell>
          <cell r="D15">
            <v>18.699457516246358</v>
          </cell>
          <cell r="E15">
            <v>19.39497364946811</v>
          </cell>
          <cell r="F15">
            <v>31.870703777255518</v>
          </cell>
          <cell r="G15">
            <v>27.286245328765009</v>
          </cell>
          <cell r="H15">
            <v>26.299211874470473</v>
          </cell>
          <cell r="I15">
            <v>29.561056801123183</v>
          </cell>
          <cell r="J15">
            <v>26.639024106997528</v>
          </cell>
          <cell r="K15">
            <v>27.120611963573602</v>
          </cell>
          <cell r="L15">
            <v>29.699794247041801</v>
          </cell>
          <cell r="N15">
            <v>29.7896033884054</v>
          </cell>
          <cell r="O15">
            <v>30.659963340059068</v>
          </cell>
          <cell r="R15">
            <v>21.620550015668346</v>
          </cell>
          <cell r="S15">
            <v>26.845184276413779</v>
          </cell>
          <cell r="T15">
            <v>27.5698164310949</v>
          </cell>
          <cell r="U15">
            <v>22.322861327425411</v>
          </cell>
          <cell r="V15">
            <v>26.576477487691424</v>
          </cell>
          <cell r="W15">
            <v>23.873196223982848</v>
          </cell>
          <cell r="Y15">
            <v>18.527599406775327</v>
          </cell>
          <cell r="Z15">
            <v>26.301605806010688</v>
          </cell>
          <cell r="AA15">
            <v>16.998229783367165</v>
          </cell>
          <cell r="AB15">
            <v>23.516351415095521</v>
          </cell>
          <cell r="AC15">
            <v>29.693823887307605</v>
          </cell>
          <cell r="AD15">
            <v>21.945982106984356</v>
          </cell>
          <cell r="AE15">
            <v>36.542102498414373</v>
          </cell>
          <cell r="AF15">
            <v>19.364293625900483</v>
          </cell>
          <cell r="AG15">
            <v>14.330077753537855</v>
          </cell>
          <cell r="AH15">
            <v>24.782392872974274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C17">
            <v>33.725908247105281</v>
          </cell>
          <cell r="D17">
            <v>29.50968088946362</v>
          </cell>
          <cell r="E17">
            <v>36.857504498981442</v>
          </cell>
          <cell r="F17">
            <v>50.550379857577923</v>
          </cell>
          <cell r="G17">
            <v>48.481169046915753</v>
          </cell>
          <cell r="H17">
            <v>42.730733744187432</v>
          </cell>
          <cell r="I17">
            <v>42.432289921622633</v>
          </cell>
          <cell r="J17">
            <v>48.443911457329691</v>
          </cell>
          <cell r="K17">
            <v>43.171012939427605</v>
          </cell>
          <cell r="L17">
            <v>46.225837875025704</v>
          </cell>
          <cell r="N17">
            <v>57.218633599504422</v>
          </cell>
          <cell r="O17">
            <v>47.211863203437332</v>
          </cell>
          <cell r="R17">
            <v>35.792884661142693</v>
          </cell>
          <cell r="S17">
            <v>39.524038297891998</v>
          </cell>
          <cell r="T17">
            <v>39.169963635950531</v>
          </cell>
          <cell r="U17">
            <v>35.094213787884044</v>
          </cell>
          <cell r="V17">
            <v>45.149783251708833</v>
          </cell>
          <cell r="W17">
            <v>34.299387020140742</v>
          </cell>
          <cell r="Y17">
            <v>31.670452300881575</v>
          </cell>
          <cell r="Z17">
            <v>47.757995911768944</v>
          </cell>
          <cell r="AA17">
            <v>33.081884904529311</v>
          </cell>
          <cell r="AB17">
            <v>41.993330057735804</v>
          </cell>
          <cell r="AC17">
            <v>46.582652992530626</v>
          </cell>
          <cell r="AD17">
            <v>43.410387312446353</v>
          </cell>
          <cell r="AE17">
            <v>61.246132922403071</v>
          </cell>
          <cell r="AF17">
            <v>34.210840161950799</v>
          </cell>
          <cell r="AG17">
            <v>31.738297303220364</v>
          </cell>
          <cell r="AH17">
            <v>42.58361744909066</v>
          </cell>
        </row>
        <row r="18">
          <cell r="C18">
            <v>41.175731457002399</v>
          </cell>
          <cell r="D18">
            <v>37.506056432317997</v>
          </cell>
          <cell r="E18">
            <v>35.090450097677412</v>
          </cell>
          <cell r="F18">
            <v>64.693963756103983</v>
          </cell>
          <cell r="G18">
            <v>38.287560114745432</v>
          </cell>
          <cell r="H18">
            <v>47.567032500523069</v>
          </cell>
          <cell r="I18">
            <v>20.267034167148456</v>
          </cell>
          <cell r="J18">
            <v>18.72077019100378</v>
          </cell>
          <cell r="K18">
            <v>25.605772080771111</v>
          </cell>
          <cell r="L18">
            <v>43.243604821106473</v>
          </cell>
          <cell r="N18">
            <v>34.336137101800531</v>
          </cell>
          <cell r="O18">
            <v>47.470330932540584</v>
          </cell>
          <cell r="R18">
            <v>24.669167821806571</v>
          </cell>
          <cell r="S18">
            <v>18.429157481072078</v>
          </cell>
          <cell r="T18">
            <v>17.514099561438794</v>
          </cell>
          <cell r="U18">
            <v>15.34458979576465</v>
          </cell>
          <cell r="V18">
            <v>21.067158716842084</v>
          </cell>
          <cell r="W18">
            <v>14.459260866107195</v>
          </cell>
          <cell r="Y18">
            <v>22.856289038229001</v>
          </cell>
          <cell r="Z18">
            <v>33.1542861256344</v>
          </cell>
          <cell r="AA18">
            <v>55.673782780286302</v>
          </cell>
          <cell r="AB18">
            <v>43.805050099401484</v>
          </cell>
          <cell r="AC18">
            <v>42.768284950681021</v>
          </cell>
          <cell r="AD18">
            <v>51.107787043212646</v>
          </cell>
          <cell r="AE18">
            <v>31.020436757357192</v>
          </cell>
          <cell r="AF18">
            <v>18.994106938181602</v>
          </cell>
          <cell r="AG18">
            <v>17.460182261139622</v>
          </cell>
          <cell r="AH18">
            <v>18.59572610894223</v>
          </cell>
        </row>
        <row r="26">
          <cell r="C26">
            <v>272.06527906289483</v>
          </cell>
          <cell r="D26">
            <v>73.13369338360252</v>
          </cell>
          <cell r="E26">
            <v>94.263631008728353</v>
          </cell>
          <cell r="F26">
            <v>67.1139677758174</v>
          </cell>
          <cell r="G26">
            <v>61.414697322253197</v>
          </cell>
          <cell r="H26">
            <v>57.035505683385303</v>
          </cell>
          <cell r="I26">
            <v>81.037970966143632</v>
          </cell>
          <cell r="J26">
            <v>92.432776016340881</v>
          </cell>
          <cell r="K26">
            <v>61.279397417985948</v>
          </cell>
          <cell r="L26">
            <v>92.234884381590447</v>
          </cell>
          <cell r="N26">
            <v>90.152384005781897</v>
          </cell>
          <cell r="O26">
            <v>55.724007566269179</v>
          </cell>
          <cell r="P26">
            <v>43.034586032073939</v>
          </cell>
          <cell r="Q26">
            <v>69.969203100888848</v>
          </cell>
          <cell r="R26">
            <v>70.482168608619531</v>
          </cell>
          <cell r="S26">
            <v>70.748872491074593</v>
          </cell>
          <cell r="T26">
            <v>90.054783169605628</v>
          </cell>
          <cell r="U26">
            <v>76.092075064398429</v>
          </cell>
          <cell r="V26">
            <v>95.677837948249334</v>
          </cell>
          <cell r="W26">
            <v>75.42782024586775</v>
          </cell>
          <cell r="Y26">
            <v>56.945831829547544</v>
          </cell>
          <cell r="Z26">
            <v>64.614044352942329</v>
          </cell>
          <cell r="AA26">
            <v>61.666454753116369</v>
          </cell>
          <cell r="AB26">
            <v>79.259403529597279</v>
          </cell>
          <cell r="AC26">
            <v>47.902360876510492</v>
          </cell>
          <cell r="AF26">
            <v>146.06272083966897</v>
          </cell>
          <cell r="AG26">
            <v>96.927265748695376</v>
          </cell>
          <cell r="AH26">
            <v>106.16385577202092</v>
          </cell>
        </row>
        <row r="27">
          <cell r="C27">
            <v>2409.3523427567447</v>
          </cell>
          <cell r="D27">
            <v>855.98919485383044</v>
          </cell>
          <cell r="E27">
            <v>887.06619287950582</v>
          </cell>
          <cell r="F27">
            <v>692.75270970146812</v>
          </cell>
          <cell r="G27">
            <v>877.42582470669015</v>
          </cell>
          <cell r="H27">
            <v>665.64136657067252</v>
          </cell>
          <cell r="I27">
            <v>1150.9041296148878</v>
          </cell>
          <cell r="J27">
            <v>793.90203215865154</v>
          </cell>
          <cell r="K27">
            <v>754.4991341521943</v>
          </cell>
          <cell r="L27">
            <v>1099.6621949375046</v>
          </cell>
          <cell r="N27">
            <v>1076.2401677564471</v>
          </cell>
          <cell r="O27">
            <v>673.4359373573908</v>
          </cell>
          <cell r="P27">
            <v>592.89413548631524</v>
          </cell>
          <cell r="Q27">
            <v>995.32893331100001</v>
          </cell>
          <cell r="R27">
            <v>821.50939223274543</v>
          </cell>
          <cell r="S27">
            <v>678.29075489655304</v>
          </cell>
          <cell r="T27">
            <v>1183.7723440815503</v>
          </cell>
          <cell r="U27">
            <v>976.72376563757496</v>
          </cell>
          <cell r="V27">
            <v>788.42309362983906</v>
          </cell>
          <cell r="W27">
            <v>710.90706667512518</v>
          </cell>
          <cell r="Y27">
            <v>912.09080611546733</v>
          </cell>
          <cell r="Z27">
            <v>734.58082801028127</v>
          </cell>
          <cell r="AA27">
            <v>705.07722191692676</v>
          </cell>
          <cell r="AB27">
            <v>754.09321232946797</v>
          </cell>
          <cell r="AC27">
            <v>474.46247499348652</v>
          </cell>
          <cell r="AF27">
            <v>1262.591579211783</v>
          </cell>
          <cell r="AG27">
            <v>906.06911028143054</v>
          </cell>
          <cell r="AH27">
            <v>971.58540859892139</v>
          </cell>
        </row>
        <row r="28">
          <cell r="C28">
            <v>118.59184095117472</v>
          </cell>
          <cell r="D28">
            <v>57.04937066190115</v>
          </cell>
          <cell r="E28">
            <v>79.089549664317545</v>
          </cell>
          <cell r="F28">
            <v>39.215557492377854</v>
          </cell>
          <cell r="G28">
            <v>58.148897684531477</v>
          </cell>
          <cell r="H28">
            <v>70.660298425332499</v>
          </cell>
          <cell r="I28">
            <v>133.35082876512786</v>
          </cell>
          <cell r="J28">
            <v>80.254538642485443</v>
          </cell>
          <cell r="K28">
            <v>46.370380461447624</v>
          </cell>
          <cell r="L28">
            <v>125.22315952607613</v>
          </cell>
          <cell r="N28">
            <v>68.161070017886772</v>
          </cell>
          <cell r="O28">
            <v>23.038982926501621</v>
          </cell>
          <cell r="P28">
            <v>19.331290709998736</v>
          </cell>
          <cell r="Q28">
            <v>105.79934574396192</v>
          </cell>
          <cell r="R28">
            <v>78.037493144064953</v>
          </cell>
          <cell r="S28">
            <v>62.825386076444886</v>
          </cell>
          <cell r="T28">
            <v>104.48776361106786</v>
          </cell>
          <cell r="U28">
            <v>76.360498776633335</v>
          </cell>
          <cell r="V28">
            <v>72.677698945817397</v>
          </cell>
          <cell r="W28">
            <v>46.430516392014773</v>
          </cell>
          <cell r="Y28">
            <v>104.85006099512724</v>
          </cell>
          <cell r="Z28">
            <v>91.786987286360258</v>
          </cell>
          <cell r="AA28">
            <v>107.46568795014461</v>
          </cell>
          <cell r="AB28">
            <v>51.188888021778723</v>
          </cell>
          <cell r="AC28">
            <v>61.611227569126065</v>
          </cell>
          <cell r="AF28">
            <v>116.08948963663431</v>
          </cell>
          <cell r="AG28">
            <v>88.42368544749516</v>
          </cell>
          <cell r="AH28">
            <v>65.651791618587467</v>
          </cell>
        </row>
        <row r="30">
          <cell r="C30">
            <v>1020.4787032978721</v>
          </cell>
          <cell r="D30">
            <v>274.45480699761299</v>
          </cell>
          <cell r="E30">
            <v>240.28696767107655</v>
          </cell>
          <cell r="F30">
            <v>267.05187167823095</v>
          </cell>
          <cell r="G30">
            <v>289.61202916627991</v>
          </cell>
          <cell r="H30">
            <v>198.86654419880668</v>
          </cell>
          <cell r="I30">
            <v>315.45184906840535</v>
          </cell>
          <cell r="J30">
            <v>267.94984936428926</v>
          </cell>
          <cell r="K30">
            <v>256.38136718529734</v>
          </cell>
          <cell r="L30">
            <v>322.63343102939427</v>
          </cell>
          <cell r="N30">
            <v>419.43452672709856</v>
          </cell>
          <cell r="O30">
            <v>256.1586189782119</v>
          </cell>
          <cell r="P30">
            <v>203.0018926263657</v>
          </cell>
          <cell r="Q30">
            <v>455.43199736478459</v>
          </cell>
          <cell r="R30">
            <v>312.04891475905947</v>
          </cell>
          <cell r="S30">
            <v>234.14609054376916</v>
          </cell>
          <cell r="T30">
            <v>323.07254245799083</v>
          </cell>
          <cell r="U30">
            <v>278.3844366789574</v>
          </cell>
          <cell r="V30">
            <v>280.17992410021509</v>
          </cell>
          <cell r="W30">
            <v>228.67434430481921</v>
          </cell>
          <cell r="Y30">
            <v>237.59545465117179</v>
          </cell>
          <cell r="Z30">
            <v>250.79278434057861</v>
          </cell>
          <cell r="AA30">
            <v>227.00322764058521</v>
          </cell>
          <cell r="AB30">
            <v>256.50566582392543</v>
          </cell>
          <cell r="AC30">
            <v>176.26394350944128</v>
          </cell>
          <cell r="AF30">
            <v>383.56384273007205</v>
          </cell>
          <cell r="AG30">
            <v>269.73061939307718</v>
          </cell>
          <cell r="AH30">
            <v>331.76565671192452</v>
          </cell>
        </row>
        <row r="31">
          <cell r="C31">
            <v>710.774443793111</v>
          </cell>
          <cell r="D31">
            <v>332.94561989827758</v>
          </cell>
          <cell r="E31">
            <v>355.85595240025617</v>
          </cell>
          <cell r="F31">
            <v>266.63336039132906</v>
          </cell>
          <cell r="G31">
            <v>354.49319693952265</v>
          </cell>
          <cell r="H31">
            <v>356.73256165701548</v>
          </cell>
          <cell r="I31">
            <v>779.39742331478078</v>
          </cell>
          <cell r="J31">
            <v>328.65810236403871</v>
          </cell>
          <cell r="K31">
            <v>248.85046049662321</v>
          </cell>
          <cell r="L31">
            <v>715.84374745194054</v>
          </cell>
          <cell r="N31">
            <v>360.98538843090455</v>
          </cell>
          <cell r="O31">
            <v>143.91607443688204</v>
          </cell>
          <cell r="P31">
            <v>125.22015831134873</v>
          </cell>
          <cell r="Q31">
            <v>684.03460111101583</v>
          </cell>
          <cell r="R31">
            <v>393.83710823297275</v>
          </cell>
          <cell r="S31">
            <v>392.20214547748566</v>
          </cell>
          <cell r="T31">
            <v>560.04601312996033</v>
          </cell>
          <cell r="U31">
            <v>490.69247001842336</v>
          </cell>
          <cell r="V31">
            <v>489.18501881455063</v>
          </cell>
          <cell r="W31">
            <v>296.59961833569349</v>
          </cell>
          <cell r="Y31">
            <v>475.87538366098994</v>
          </cell>
          <cell r="Z31">
            <v>420.46542220345509</v>
          </cell>
          <cell r="AA31">
            <v>485.23241669069802</v>
          </cell>
          <cell r="AB31">
            <v>309.05615342412221</v>
          </cell>
          <cell r="AC31">
            <v>236.04925825901475</v>
          </cell>
          <cell r="AF31">
            <v>496.09385430406957</v>
          </cell>
          <cell r="AG31">
            <v>358.30211092522393</v>
          </cell>
          <cell r="AH31">
            <v>372.86493146459173</v>
          </cell>
        </row>
        <row r="32">
          <cell r="C32">
            <v>329.49839075234695</v>
          </cell>
          <cell r="D32">
            <v>165.3752212320276</v>
          </cell>
          <cell r="E32">
            <v>180.68935717906308</v>
          </cell>
          <cell r="F32">
            <v>134.93838958309502</v>
          </cell>
          <cell r="G32">
            <v>162.71230779581279</v>
          </cell>
          <cell r="H32">
            <v>181.35878813231778</v>
          </cell>
          <cell r="I32">
            <v>378.14758298721341</v>
          </cell>
          <cell r="J32">
            <v>163.04694351688744</v>
          </cell>
          <cell r="K32">
            <v>101.86411489286898</v>
          </cell>
          <cell r="L32">
            <v>359.98681011089792</v>
          </cell>
          <cell r="N32">
            <v>157.78331036075946</v>
          </cell>
          <cell r="O32">
            <v>64.874133170947118</v>
          </cell>
          <cell r="P32">
            <v>62.100373859440531</v>
          </cell>
          <cell r="Q32">
            <v>310.52050417763047</v>
          </cell>
          <cell r="R32">
            <v>198.1469848491524</v>
          </cell>
          <cell r="S32">
            <v>210.4715412985625</v>
          </cell>
          <cell r="T32">
            <v>284.71003899257249</v>
          </cell>
          <cell r="U32">
            <v>243.06876701887603</v>
          </cell>
          <cell r="V32">
            <v>264.34254365284227</v>
          </cell>
          <cell r="W32">
            <v>161.981307627864</v>
          </cell>
          <cell r="Y32">
            <v>224.55938271257116</v>
          </cell>
          <cell r="Z32">
            <v>196.38099337236434</v>
          </cell>
          <cell r="AA32">
            <v>249.1041377129248</v>
          </cell>
          <cell r="AB32">
            <v>159.58030599091083</v>
          </cell>
          <cell r="AC32">
            <v>114.8867314082275</v>
          </cell>
          <cell r="AF32">
            <v>238.73585206529427</v>
          </cell>
          <cell r="AG32">
            <v>183.83444268954415</v>
          </cell>
          <cell r="AH32">
            <v>184.74863250228867</v>
          </cell>
        </row>
        <row r="33">
          <cell r="C33">
            <v>16.205657719848276</v>
          </cell>
          <cell r="D33">
            <v>6.628633334066186</v>
          </cell>
          <cell r="E33">
            <v>7.9703469206594164</v>
          </cell>
          <cell r="F33">
            <v>10.738279273207731</v>
          </cell>
          <cell r="G33">
            <v>12.331795002246748</v>
          </cell>
          <cell r="H33">
            <v>6.0165133350414255</v>
          </cell>
          <cell r="I33">
            <v>7.7671635138723207</v>
          </cell>
          <cell r="J33">
            <v>12.522666824200837</v>
          </cell>
          <cell r="K33">
            <v>15.135176476184927</v>
          </cell>
          <cell r="L33">
            <v>10.774971037907838</v>
          </cell>
          <cell r="N33">
            <v>24.427663081943724</v>
          </cell>
          <cell r="O33">
            <v>15.164813285066892</v>
          </cell>
          <cell r="P33">
            <v>6.6338796744014896</v>
          </cell>
          <cell r="Q33">
            <v>35.793631987685565</v>
          </cell>
          <cell r="R33">
            <v>7.2246267397566157</v>
          </cell>
          <cell r="S33">
            <v>5.3731245281749329</v>
          </cell>
          <cell r="T33">
            <v>8.4965094964145091</v>
          </cell>
          <cell r="U33">
            <v>6.6314667200889348</v>
          </cell>
          <cell r="V33">
            <v>7.3732698119132039</v>
          </cell>
          <cell r="W33">
            <v>7.7211567867208224</v>
          </cell>
          <cell r="Y33">
            <v>6.8007637720442382</v>
          </cell>
          <cell r="Z33">
            <v>7.3133458352901881</v>
          </cell>
          <cell r="AA33">
            <v>6.2968106790546319</v>
          </cell>
          <cell r="AB33">
            <v>6.9729541453599211</v>
          </cell>
          <cell r="AC33">
            <v>5.4735291713067982</v>
          </cell>
          <cell r="AF33">
            <v>9.9560495501467408</v>
          </cell>
          <cell r="AG33">
            <v>6.4394042938843139</v>
          </cell>
          <cell r="AH33">
            <v>8.1300706802978766</v>
          </cell>
        </row>
        <row r="34">
          <cell r="C34">
            <v>27.417421157698701</v>
          </cell>
          <cell r="D34">
            <v>10.245826062533633</v>
          </cell>
          <cell r="E34">
            <v>12.793623833227882</v>
          </cell>
          <cell r="F34">
            <v>14.261869807384816</v>
          </cell>
          <cell r="G34">
            <v>18.212229634973006</v>
          </cell>
          <cell r="H34">
            <v>15.278929482613032</v>
          </cell>
          <cell r="I34">
            <v>21.566479349680392</v>
          </cell>
          <cell r="J34">
            <v>20.720190274570108</v>
          </cell>
          <cell r="K34">
            <v>20.299670110226614</v>
          </cell>
          <cell r="L34">
            <v>24.93299048585056</v>
          </cell>
          <cell r="N34">
            <v>35.886089456739526</v>
          </cell>
          <cell r="O34">
            <v>14.42408202708169</v>
          </cell>
          <cell r="P34">
            <v>11.380523528693306</v>
          </cell>
          <cell r="Q34">
            <v>38.997746511288518</v>
          </cell>
          <cell r="R34">
            <v>11.462164481716975</v>
          </cell>
          <cell r="S34">
            <v>10.708011528744128</v>
          </cell>
          <cell r="T34">
            <v>23.143855180491816</v>
          </cell>
          <cell r="U34">
            <v>13.683328196863176</v>
          </cell>
          <cell r="V34">
            <v>14.861454613910091</v>
          </cell>
          <cell r="W34">
            <v>13.249636058904375</v>
          </cell>
          <cell r="Y34">
            <v>13.279811279166697</v>
          </cell>
          <cell r="Z34">
            <v>14.110572498524251</v>
          </cell>
          <cell r="AA34">
            <v>17.096964723502257</v>
          </cell>
          <cell r="AB34">
            <v>11.91259170349189</v>
          </cell>
          <cell r="AC34">
            <v>10.993182924224934</v>
          </cell>
          <cell r="AF34">
            <v>18.702524001868454</v>
          </cell>
          <cell r="AG34">
            <v>13.088447920481233</v>
          </cell>
          <cell r="AH34">
            <v>15.654680855581217</v>
          </cell>
        </row>
        <row r="35">
          <cell r="C35">
            <v>7.9256003118113769</v>
          </cell>
          <cell r="D35">
            <v>2.9178938362168205</v>
          </cell>
          <cell r="E35">
            <v>6.0939448160936589</v>
          </cell>
          <cell r="F35">
            <v>6.2832560125203392</v>
          </cell>
          <cell r="G35">
            <v>9.3963493812132253</v>
          </cell>
          <cell r="H35">
            <v>4.3962401862547518</v>
          </cell>
          <cell r="I35">
            <v>6.4451789303802851</v>
          </cell>
          <cell r="J35">
            <v>13.051161332551915</v>
          </cell>
          <cell r="K35">
            <v>11.789070449180032</v>
          </cell>
          <cell r="L35">
            <v>8.4887754084318914</v>
          </cell>
          <cell r="N35">
            <v>19.676032972168713</v>
          </cell>
          <cell r="O35">
            <v>8.7605517950631544</v>
          </cell>
          <cell r="P35">
            <v>5.5655759599248906</v>
          </cell>
          <cell r="Q35">
            <v>27.537740231349449</v>
          </cell>
          <cell r="R35">
            <v>5.3196589324274237</v>
          </cell>
          <cell r="S35">
            <v>3.7069012762051781</v>
          </cell>
          <cell r="T35">
            <v>8.2984011675691161</v>
          </cell>
          <cell r="U35">
            <v>14.065016161454876</v>
          </cell>
          <cell r="V35">
            <v>6.7117502449677104</v>
          </cell>
          <cell r="W35">
            <v>5.4993412653443769</v>
          </cell>
          <cell r="Y35">
            <v>5.9295936711552715</v>
          </cell>
          <cell r="Z35">
            <v>4.8533894007158986</v>
          </cell>
          <cell r="AA35">
            <v>7.4664313461320324</v>
          </cell>
          <cell r="AB35">
            <v>4.0246901082746085</v>
          </cell>
          <cell r="AC35">
            <v>4.4668424515491676</v>
          </cell>
          <cell r="AF35">
            <v>6.7361927404636335</v>
          </cell>
          <cell r="AG35">
            <v>3.9213238054891457</v>
          </cell>
          <cell r="AH35">
            <v>6.1301570729911097</v>
          </cell>
        </row>
        <row r="36">
          <cell r="C36">
            <v>53.539104840801947</v>
          </cell>
          <cell r="D36">
            <v>18.915509773152408</v>
          </cell>
          <cell r="E36">
            <v>24.270069337248412</v>
          </cell>
          <cell r="F36">
            <v>22.193088449432341</v>
          </cell>
          <cell r="G36">
            <v>25.04390802848561</v>
          </cell>
          <cell r="H36">
            <v>21.954203066139758</v>
          </cell>
          <cell r="I36">
            <v>27.729476266225948</v>
          </cell>
          <cell r="J36">
            <v>22.308356328708538</v>
          </cell>
          <cell r="K36">
            <v>32.55630929126918</v>
          </cell>
          <cell r="L36">
            <v>32.617115713306397</v>
          </cell>
          <cell r="N36">
            <v>44.208321149632631</v>
          </cell>
          <cell r="O36">
            <v>20.873359228897421</v>
          </cell>
          <cell r="P36">
            <v>16.32599781378179</v>
          </cell>
          <cell r="Q36">
            <v>64.316431805545974</v>
          </cell>
          <cell r="R36">
            <v>15.339442968828756</v>
          </cell>
          <cell r="S36">
            <v>28.184933325400348</v>
          </cell>
          <cell r="T36">
            <v>33.235135037487225</v>
          </cell>
          <cell r="U36">
            <v>17.898940524512966</v>
          </cell>
          <cell r="V36">
            <v>21.695526967125708</v>
          </cell>
          <cell r="W36">
            <v>24.11502509164626</v>
          </cell>
          <cell r="Y36">
            <v>19.091147393014385</v>
          </cell>
          <cell r="Z36">
            <v>21.310861682500107</v>
          </cell>
          <cell r="AA36">
            <v>21.992775528380673</v>
          </cell>
          <cell r="AB36">
            <v>16.207684760332445</v>
          </cell>
          <cell r="AC36">
            <v>17.159054597291608</v>
          </cell>
          <cell r="AF36">
            <v>34.58135071592325</v>
          </cell>
          <cell r="AG36">
            <v>22.42144283828031</v>
          </cell>
          <cell r="AH36">
            <v>23.922633744701869</v>
          </cell>
        </row>
        <row r="37">
          <cell r="C37">
            <v>39.785394507260762</v>
          </cell>
          <cell r="D37">
            <v>13.269685229794705</v>
          </cell>
          <cell r="E37">
            <v>16.418104661451565</v>
          </cell>
          <cell r="F37">
            <v>39.344653419473588</v>
          </cell>
          <cell r="G37">
            <v>18.697819060686719</v>
          </cell>
          <cell r="H37">
            <v>18.841822061440652</v>
          </cell>
          <cell r="I37">
            <v>23.208987659706182</v>
          </cell>
          <cell r="J37">
            <v>19.952183635314686</v>
          </cell>
          <cell r="K37">
            <v>43.794069025094643</v>
          </cell>
          <cell r="L37">
            <v>30.59447799107873</v>
          </cell>
          <cell r="N37">
            <v>48.663392124896774</v>
          </cell>
          <cell r="O37">
            <v>38.250695118178228</v>
          </cell>
          <cell r="P37">
            <v>20.771948471629237</v>
          </cell>
          <cell r="Q37">
            <v>58.760575227907246</v>
          </cell>
          <cell r="R37">
            <v>12.005985319697825</v>
          </cell>
          <cell r="S37">
            <v>10.549023990312799</v>
          </cell>
          <cell r="T37">
            <v>18.266831942394166</v>
          </cell>
          <cell r="U37">
            <v>14.361706446523105</v>
          </cell>
          <cell r="V37">
            <v>15.504123183432792</v>
          </cell>
          <cell r="W37">
            <v>13.08421804664485</v>
          </cell>
          <cell r="Y37">
            <v>13.65311900134409</v>
          </cell>
          <cell r="Z37">
            <v>15.392251524184847</v>
          </cell>
          <cell r="AA37">
            <v>14.676069475234188</v>
          </cell>
          <cell r="AB37">
            <v>22.296601899189529</v>
          </cell>
          <cell r="AC37">
            <v>15.101870688820805</v>
          </cell>
          <cell r="AF37">
            <v>10.794857634109125</v>
          </cell>
          <cell r="AG37">
            <v>12.379417803244893</v>
          </cell>
          <cell r="AH37">
            <v>13.378149599074247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C40">
            <v>17.983885260187932</v>
          </cell>
          <cell r="D40">
            <v>10.196245528283148</v>
          </cell>
          <cell r="E40">
            <v>16.159324080543421</v>
          </cell>
          <cell r="F40">
            <v>15.058394964552086</v>
          </cell>
          <cell r="G40">
            <v>22.639733994214865</v>
          </cell>
          <cell r="H40">
            <v>14.541081061194461</v>
          </cell>
          <cell r="I40">
            <v>15.24243123324835</v>
          </cell>
          <cell r="J40">
            <v>30.1329322780621</v>
          </cell>
          <cell r="K40">
            <v>26.105351778364973</v>
          </cell>
          <cell r="L40">
            <v>24.500818177411205</v>
          </cell>
          <cell r="N40">
            <v>36.419532727855078</v>
          </cell>
          <cell r="O40">
            <v>16.56294087276315</v>
          </cell>
          <cell r="P40">
            <v>10.684789244948607</v>
          </cell>
          <cell r="Q40">
            <v>39.43521603982574</v>
          </cell>
          <cell r="R40">
            <v>10.864274884562782</v>
          </cell>
          <cell r="S40">
            <v>14.923200962608695</v>
          </cell>
          <cell r="T40">
            <v>28.474206975038207</v>
          </cell>
          <cell r="U40">
            <v>16.622702514827001</v>
          </cell>
          <cell r="V40">
            <v>15.365041532623966</v>
          </cell>
          <cell r="W40">
            <v>15.807597283274278</v>
          </cell>
          <cell r="Y40">
            <v>12.906329987907338</v>
          </cell>
          <cell r="Z40">
            <v>13.688217047576394</v>
          </cell>
          <cell r="AA40">
            <v>17.091006399135665</v>
          </cell>
          <cell r="AB40">
            <v>12.914824374290967</v>
          </cell>
          <cell r="AC40">
            <v>11.33711438325666</v>
          </cell>
          <cell r="AF40">
            <v>17.934895351978952</v>
          </cell>
          <cell r="AG40">
            <v>14.89028769621086</v>
          </cell>
          <cell r="AH40">
            <v>16.776533963784551</v>
          </cell>
        </row>
        <row r="48">
          <cell r="C48">
            <v>8978.1573140870732</v>
          </cell>
          <cell r="D48">
            <v>5504.7007771636463</v>
          </cell>
          <cell r="E48">
            <v>6154.5544850326714</v>
          </cell>
          <cell r="F48">
            <v>3347.2238801290446</v>
          </cell>
          <cell r="G48">
            <v>3210.5525544058482</v>
          </cell>
          <cell r="H48">
            <v>5282.5903638344844</v>
          </cell>
          <cell r="I48">
            <v>11588.582690421788</v>
          </cell>
          <cell r="J48">
            <v>5842.8632730131421</v>
          </cell>
          <cell r="K48">
            <v>1579.0076099563378</v>
          </cell>
          <cell r="L48">
            <v>6889.9770864418515</v>
          </cell>
          <cell r="N48">
            <v>3368.1290745317069</v>
          </cell>
          <cell r="O48">
            <v>683.03981208378821</v>
          </cell>
          <cell r="P48">
            <v>699.45026824078184</v>
          </cell>
          <cell r="Q48">
            <v>4789.4878935941188</v>
          </cell>
          <cell r="R48">
            <v>6743.0540272823509</v>
          </cell>
          <cell r="S48">
            <v>1873.6095676716877</v>
          </cell>
          <cell r="T48">
            <v>4361.7923838131665</v>
          </cell>
          <cell r="U48">
            <v>4889.0755862080832</v>
          </cell>
          <cell r="V48">
            <v>1804.092685013648</v>
          </cell>
          <cell r="W48">
            <v>3304.4274816050847</v>
          </cell>
          <cell r="Y48">
            <v>5787.0946532989428</v>
          </cell>
          <cell r="Z48">
            <v>4988.9841061598254</v>
          </cell>
          <cell r="AB48">
            <v>2572.1116570457984</v>
          </cell>
          <cell r="AC48">
            <v>2345.8429623981369</v>
          </cell>
          <cell r="AD48">
            <v>2086.6537841388563</v>
          </cell>
          <cell r="AF48">
            <v>4947.7375530477466</v>
          </cell>
          <cell r="AG48">
            <v>3455.4372682825419</v>
          </cell>
          <cell r="AH48">
            <v>2438.7043887778605</v>
          </cell>
        </row>
        <row r="49">
          <cell r="C49">
            <v>187012.73506302395</v>
          </cell>
          <cell r="D49">
            <v>100043.76309254253</v>
          </cell>
          <cell r="E49">
            <v>120602.07550978247</v>
          </cell>
          <cell r="F49">
            <v>60890.501275116076</v>
          </cell>
          <cell r="G49">
            <v>64795.550007915364</v>
          </cell>
          <cell r="H49">
            <v>89430.502959245772</v>
          </cell>
          <cell r="I49">
            <v>246248.67210258651</v>
          </cell>
          <cell r="J49">
            <v>91498.043061775679</v>
          </cell>
          <cell r="K49">
            <v>32689.658161305637</v>
          </cell>
          <cell r="L49">
            <v>132922.26003632147</v>
          </cell>
          <cell r="N49">
            <v>63269.722041297937</v>
          </cell>
          <cell r="O49">
            <v>11523.336783821735</v>
          </cell>
          <cell r="P49">
            <v>14434.13429347282</v>
          </cell>
          <cell r="Q49">
            <v>80735.513779098517</v>
          </cell>
          <cell r="R49">
            <v>113497.24406767062</v>
          </cell>
          <cell r="S49">
            <v>33659.499281016164</v>
          </cell>
          <cell r="T49">
            <v>73166.454832751551</v>
          </cell>
          <cell r="U49">
            <v>92160.687047456653</v>
          </cell>
          <cell r="V49">
            <v>31613.04898492491</v>
          </cell>
          <cell r="W49">
            <v>55923.119527699222</v>
          </cell>
          <cell r="Y49">
            <v>99750.152141439001</v>
          </cell>
          <cell r="Z49">
            <v>83391.97974244006</v>
          </cell>
          <cell r="AB49">
            <v>46618.21809105292</v>
          </cell>
          <cell r="AC49">
            <v>36543.686960395447</v>
          </cell>
          <cell r="AD49">
            <v>35542.262685653397</v>
          </cell>
          <cell r="AF49">
            <v>83146.816518803127</v>
          </cell>
          <cell r="AG49">
            <v>59094.747813627408</v>
          </cell>
          <cell r="AH49">
            <v>41148.198462569526</v>
          </cell>
        </row>
        <row r="50">
          <cell r="C50">
            <v>49602.887059896238</v>
          </cell>
          <cell r="D50">
            <v>28254.320571541197</v>
          </cell>
          <cell r="E50">
            <v>35688.410380314934</v>
          </cell>
          <cell r="F50">
            <v>16355.26520972093</v>
          </cell>
          <cell r="G50">
            <v>18227.059207204857</v>
          </cell>
          <cell r="H50">
            <v>31461.279606920871</v>
          </cell>
          <cell r="I50">
            <v>60146.888511239347</v>
          </cell>
          <cell r="J50">
            <v>35471.842783899192</v>
          </cell>
          <cell r="K50">
            <v>9179.1821388099179</v>
          </cell>
          <cell r="L50">
            <v>37928.154794716174</v>
          </cell>
          <cell r="N50">
            <v>23335.004713239054</v>
          </cell>
          <cell r="O50">
            <v>3951.7324938041725</v>
          </cell>
          <cell r="P50">
            <v>4083.968833156332</v>
          </cell>
          <cell r="Q50">
            <v>24036.778235662863</v>
          </cell>
          <cell r="R50">
            <v>34423.100547678318</v>
          </cell>
          <cell r="S50">
            <v>9854.9891972691876</v>
          </cell>
          <cell r="T50">
            <v>27525.278226840368</v>
          </cell>
          <cell r="U50">
            <v>26316.614508991886</v>
          </cell>
          <cell r="V50">
            <v>7710.1272114624035</v>
          </cell>
          <cell r="W50">
            <v>14629.851441392733</v>
          </cell>
          <cell r="Y50">
            <v>39250.010988505819</v>
          </cell>
          <cell r="Z50">
            <v>33790.487179507036</v>
          </cell>
          <cell r="AB50">
            <v>14159.421261557589</v>
          </cell>
          <cell r="AC50">
            <v>17617.975359407883</v>
          </cell>
          <cell r="AD50">
            <v>13508.873036833469</v>
          </cell>
          <cell r="AF50">
            <v>31174.205707861274</v>
          </cell>
          <cell r="AG50">
            <v>24046.72886046956</v>
          </cell>
          <cell r="AH50">
            <v>11632.362931430484</v>
          </cell>
        </row>
        <row r="52">
          <cell r="C52">
            <v>28196.648024497688</v>
          </cell>
          <cell r="D52">
            <v>14849.094152507319</v>
          </cell>
          <cell r="E52">
            <v>17144.886948197167</v>
          </cell>
          <cell r="F52">
            <v>9907.0088035858535</v>
          </cell>
          <cell r="G52">
            <v>9585.2588406938557</v>
          </cell>
          <cell r="H52">
            <v>12558.510225940254</v>
          </cell>
          <cell r="I52">
            <v>40558.357155352671</v>
          </cell>
          <cell r="J52">
            <v>12266.233013783532</v>
          </cell>
          <cell r="K52">
            <v>5075.7029272424443</v>
          </cell>
          <cell r="L52">
            <v>19909.934107907578</v>
          </cell>
          <cell r="N52">
            <v>8137.000446393532</v>
          </cell>
          <cell r="O52">
            <v>1586.3584297698058</v>
          </cell>
          <cell r="P52">
            <v>2368.2119739387349</v>
          </cell>
          <cell r="Q52">
            <v>11567.660288946599</v>
          </cell>
          <cell r="R52">
            <v>17150.326097280318</v>
          </cell>
          <cell r="S52">
            <v>5349.5861354668014</v>
          </cell>
          <cell r="T52">
            <v>10160.511094908794</v>
          </cell>
          <cell r="U52">
            <v>13601.968661742674</v>
          </cell>
          <cell r="V52">
            <v>5260.9616455610112</v>
          </cell>
          <cell r="W52">
            <v>9384.7002648998041</v>
          </cell>
          <cell r="Y52">
            <v>12997.019111659265</v>
          </cell>
          <cell r="Z52">
            <v>10095.936570287653</v>
          </cell>
          <cell r="AB52">
            <v>6761.2418292296679</v>
          </cell>
          <cell r="AC52">
            <v>3978.7708794346645</v>
          </cell>
          <cell r="AD52">
            <v>4278.9078889260309</v>
          </cell>
          <cell r="AF52">
            <v>10476.365213493418</v>
          </cell>
          <cell r="AG52">
            <v>7353.1930513184489</v>
          </cell>
          <cell r="AH52">
            <v>5701.1579706614093</v>
          </cell>
        </row>
        <row r="53">
          <cell r="C53">
            <v>300723.88445855293</v>
          </cell>
          <cell r="D53">
            <v>154981.3013091493</v>
          </cell>
          <cell r="E53">
            <v>176657.25678566218</v>
          </cell>
          <cell r="F53">
            <v>88320.896102712271</v>
          </cell>
          <cell r="G53">
            <v>97474.304198249636</v>
          </cell>
          <cell r="H53">
            <v>144080.99824208356</v>
          </cell>
          <cell r="I53">
            <v>405334.62164544145</v>
          </cell>
          <cell r="J53">
            <v>145372.03387743505</v>
          </cell>
          <cell r="K53">
            <v>49905.213943218318</v>
          </cell>
          <cell r="L53">
            <v>206278.93055336195</v>
          </cell>
          <cell r="N53">
            <v>108518.01962485661</v>
          </cell>
          <cell r="O53">
            <v>17785.543570355061</v>
          </cell>
          <cell r="P53">
            <v>24884.440258805167</v>
          </cell>
          <cell r="Q53">
            <v>127870.37672601656</v>
          </cell>
          <cell r="R53">
            <v>205897.23967897685</v>
          </cell>
          <cell r="S53">
            <v>62536.52076457088</v>
          </cell>
          <cell r="T53">
            <v>133962.04678109544</v>
          </cell>
          <cell r="U53">
            <v>161584.14381621426</v>
          </cell>
          <cell r="V53">
            <v>48231.164995166939</v>
          </cell>
          <cell r="W53">
            <v>92347.72040779161</v>
          </cell>
          <cell r="Y53">
            <v>182794.9874611719</v>
          </cell>
          <cell r="Z53">
            <v>157695.25943292017</v>
          </cell>
          <cell r="AB53">
            <v>74848.158160493374</v>
          </cell>
          <cell r="AC53">
            <v>63816.999086677264</v>
          </cell>
          <cell r="AD53">
            <v>54480.608732024593</v>
          </cell>
          <cell r="AF53">
            <v>138599.34796037467</v>
          </cell>
          <cell r="AG53">
            <v>114904.00998557905</v>
          </cell>
          <cell r="AH53">
            <v>68090.858834396946</v>
          </cell>
        </row>
        <row r="54">
          <cell r="C54">
            <v>115504.89489543476</v>
          </cell>
          <cell r="D54">
            <v>65897.656562294753</v>
          </cell>
          <cell r="E54">
            <v>75959.58841408974</v>
          </cell>
          <cell r="F54">
            <v>37025.063887793513</v>
          </cell>
          <cell r="G54">
            <v>39288.723610662106</v>
          </cell>
          <cell r="H54">
            <v>60410.661701074816</v>
          </cell>
          <cell r="I54">
            <v>159405.44948174615</v>
          </cell>
          <cell r="J54">
            <v>56277.33594283618</v>
          </cell>
          <cell r="K54">
            <v>19911.517920676437</v>
          </cell>
          <cell r="L54">
            <v>84717.635732343697</v>
          </cell>
          <cell r="N54">
            <v>42437.971889154192</v>
          </cell>
          <cell r="O54">
            <v>6981.0278162177547</v>
          </cell>
          <cell r="P54">
            <v>9643.6341679042343</v>
          </cell>
          <cell r="Q54">
            <v>50347.505833103605</v>
          </cell>
          <cell r="R54">
            <v>81869.64575048245</v>
          </cell>
          <cell r="S54">
            <v>25470.174251658136</v>
          </cell>
          <cell r="T54">
            <v>54268.926791400481</v>
          </cell>
          <cell r="U54">
            <v>64240.544583923751</v>
          </cell>
          <cell r="V54">
            <v>19960.687850982737</v>
          </cell>
          <cell r="W54">
            <v>39107.005143228176</v>
          </cell>
          <cell r="Y54">
            <v>69742.349533510758</v>
          </cell>
          <cell r="Z54">
            <v>61549.514610402694</v>
          </cell>
          <cell r="AB54">
            <v>30955.86130757878</v>
          </cell>
          <cell r="AC54">
            <v>25842.789034024408</v>
          </cell>
          <cell r="AD54">
            <v>22435.007246204263</v>
          </cell>
          <cell r="AF54">
            <v>54948.93952759308</v>
          </cell>
          <cell r="AG54">
            <v>41881.949103290601</v>
          </cell>
          <cell r="AH54">
            <v>27989.572187428184</v>
          </cell>
        </row>
        <row r="55">
          <cell r="C55">
            <v>258.86217931208364</v>
          </cell>
          <cell r="D55">
            <v>119.13531352393038</v>
          </cell>
          <cell r="E55">
            <v>130.69598987177724</v>
          </cell>
          <cell r="F55">
            <v>78.184757530119001</v>
          </cell>
          <cell r="G55">
            <v>98.751374284419015</v>
          </cell>
          <cell r="H55">
            <v>94.986513580949136</v>
          </cell>
          <cell r="I55">
            <v>317.0076978163641</v>
          </cell>
          <cell r="J55">
            <v>90.531707396965402</v>
          </cell>
          <cell r="K55">
            <v>52.269421190462516</v>
          </cell>
          <cell r="L55">
            <v>155.20805649638388</v>
          </cell>
          <cell r="N55">
            <v>94.658673742561476</v>
          </cell>
          <cell r="O55">
            <v>27.855036488604973</v>
          </cell>
          <cell r="P55">
            <v>38.853817215891823</v>
          </cell>
          <cell r="Q55">
            <v>120.21682993079985</v>
          </cell>
          <cell r="R55">
            <v>174.03589832066339</v>
          </cell>
          <cell r="S55">
            <v>61.589290112209078</v>
          </cell>
          <cell r="T55">
            <v>99.72291769033194</v>
          </cell>
          <cell r="U55">
            <v>139.28617712907774</v>
          </cell>
          <cell r="V55">
            <v>79.569633771125439</v>
          </cell>
          <cell r="W55">
            <v>94.61815903550179</v>
          </cell>
          <cell r="Y55">
            <v>155.78937012540266</v>
          </cell>
          <cell r="Z55">
            <v>98.15628383735762</v>
          </cell>
          <cell r="AB55">
            <v>66.220021904717171</v>
          </cell>
          <cell r="AC55">
            <v>44.517951819844107</v>
          </cell>
          <cell r="AD55">
            <v>57.087345148733064</v>
          </cell>
          <cell r="AF55">
            <v>97.96869527989935</v>
          </cell>
          <cell r="AG55">
            <v>74.334726516250441</v>
          </cell>
          <cell r="AH55">
            <v>65.918308432029605</v>
          </cell>
        </row>
        <row r="56">
          <cell r="C56">
            <v>6240.4389393781821</v>
          </cell>
          <cell r="D56">
            <v>4095.3914841040405</v>
          </cell>
          <cell r="E56">
            <v>4896.3070334322974</v>
          </cell>
          <cell r="F56">
            <v>2351.5750180654568</v>
          </cell>
          <cell r="G56">
            <v>2336.4106374583307</v>
          </cell>
          <cell r="H56">
            <v>3636.4807016719005</v>
          </cell>
          <cell r="I56">
            <v>8231.0151063777721</v>
          </cell>
          <cell r="J56">
            <v>3437.9512150826235</v>
          </cell>
          <cell r="K56">
            <v>1167.6612007300573</v>
          </cell>
          <cell r="L56">
            <v>5163.7434089494509</v>
          </cell>
          <cell r="N56">
            <v>2472.4377460179894</v>
          </cell>
          <cell r="O56">
            <v>419.99262638186576</v>
          </cell>
          <cell r="P56">
            <v>546.86591101823069</v>
          </cell>
          <cell r="Q56">
            <v>2723.9041781864526</v>
          </cell>
          <cell r="R56">
            <v>4632.7178219499938</v>
          </cell>
          <cell r="S56">
            <v>1302.3144012603364</v>
          </cell>
          <cell r="T56">
            <v>3221.9489491983622</v>
          </cell>
          <cell r="U56">
            <v>3361.5713198614076</v>
          </cell>
          <cell r="V56">
            <v>1075.5519642818992</v>
          </cell>
          <cell r="W56">
            <v>2251.0501712742112</v>
          </cell>
          <cell r="Y56">
            <v>3918.0943292911156</v>
          </cell>
          <cell r="Z56">
            <v>3125.1036303159799</v>
          </cell>
          <cell r="AB56">
            <v>1920.3730084338922</v>
          </cell>
          <cell r="AC56">
            <v>1489.7723940294522</v>
          </cell>
          <cell r="AD56">
            <v>1440.9449491430414</v>
          </cell>
          <cell r="AF56">
            <v>3341.1704706846208</v>
          </cell>
          <cell r="AG56">
            <v>2082.415769358925</v>
          </cell>
          <cell r="AH56">
            <v>1671.1995897729948</v>
          </cell>
        </row>
        <row r="57">
          <cell r="C57">
            <v>47.075973087063822</v>
          </cell>
          <cell r="D57">
            <v>24.818183429011217</v>
          </cell>
          <cell r="E57">
            <v>19.080653830583504</v>
          </cell>
          <cell r="F57">
            <v>25.401791126714908</v>
          </cell>
          <cell r="G57">
            <v>22.596643751589173</v>
          </cell>
          <cell r="H57">
            <v>13.373496968205245</v>
          </cell>
          <cell r="I57">
            <v>27.480045442226693</v>
          </cell>
          <cell r="J57">
            <v>32.087141479086434</v>
          </cell>
          <cell r="K57">
            <v>19.83610038022498</v>
          </cell>
          <cell r="L57">
            <v>34.508316339448562</v>
          </cell>
          <cell r="N57">
            <v>41.152892240542791</v>
          </cell>
          <cell r="O57">
            <v>30.231052037546402</v>
          </cell>
          <cell r="P57">
            <v>14.871064664544171</v>
          </cell>
          <cell r="Q57">
            <v>31.680336864237482</v>
          </cell>
          <cell r="R57">
            <v>31.401708476637189</v>
          </cell>
          <cell r="S57">
            <v>15.653640818829743</v>
          </cell>
          <cell r="T57">
            <v>18.839077209426204</v>
          </cell>
          <cell r="U57">
            <v>22.069012582922831</v>
          </cell>
          <cell r="V57">
            <v>14.085126040450573</v>
          </cell>
          <cell r="W57">
            <v>14.143794180370801</v>
          </cell>
          <cell r="Y57">
            <v>26.116236263797813</v>
          </cell>
          <cell r="Z57">
            <v>28.242573909274853</v>
          </cell>
          <cell r="AB57">
            <v>15.090293148917787</v>
          </cell>
          <cell r="AC57">
            <v>15.90628058218323</v>
          </cell>
          <cell r="AD57">
            <v>46.954548694469096</v>
          </cell>
          <cell r="AF57">
            <v>21.816557407309976</v>
          </cell>
          <cell r="AG57">
            <v>10.748993909939454</v>
          </cell>
          <cell r="AH57">
            <v>17.694020301691374</v>
          </cell>
        </row>
        <row r="58">
          <cell r="C58">
            <v>1960.8676875632532</v>
          </cell>
          <cell r="D58">
            <v>1330.3795353179141</v>
          </cell>
          <cell r="E58">
            <v>1543.2867970326199</v>
          </cell>
          <cell r="F58">
            <v>925.9253687489786</v>
          </cell>
          <cell r="G58">
            <v>952.62111565638395</v>
          </cell>
          <cell r="H58">
            <v>1372.8154667855031</v>
          </cell>
          <cell r="I58">
            <v>2286.3705452092718</v>
          </cell>
          <cell r="J58">
            <v>1476.8203656321334</v>
          </cell>
          <cell r="K58">
            <v>519.15802030439079</v>
          </cell>
          <cell r="L58">
            <v>1715.3843104448219</v>
          </cell>
          <cell r="N58">
            <v>737.18573580256646</v>
          </cell>
          <cell r="O58">
            <v>167.24683385031693</v>
          </cell>
          <cell r="P58">
            <v>206.76939270004081</v>
          </cell>
          <cell r="Q58">
            <v>906.13634670056695</v>
          </cell>
          <cell r="R58">
            <v>1177.0165712079322</v>
          </cell>
          <cell r="S58">
            <v>377.4630712386375</v>
          </cell>
          <cell r="T58">
            <v>905.68212236442582</v>
          </cell>
          <cell r="U58">
            <v>807.84554334846257</v>
          </cell>
          <cell r="V58">
            <v>359.51625917686277</v>
          </cell>
          <cell r="W58">
            <v>591.20647819370947</v>
          </cell>
          <cell r="Y58">
            <v>1178.8679286600484</v>
          </cell>
          <cell r="Z58">
            <v>962.62613847379134</v>
          </cell>
          <cell r="AB58">
            <v>676.55433878564327</v>
          </cell>
          <cell r="AC58">
            <v>559.21656180008188</v>
          </cell>
          <cell r="AD58">
            <v>494.30848545978176</v>
          </cell>
          <cell r="AF58">
            <v>1128.7326694943549</v>
          </cell>
          <cell r="AG58">
            <v>674.53535896650828</v>
          </cell>
          <cell r="AH58">
            <v>458.06905683614184</v>
          </cell>
        </row>
        <row r="59">
          <cell r="C59">
            <v>50.737577941139421</v>
          </cell>
          <cell r="D59">
            <v>15.6849160608062</v>
          </cell>
          <cell r="E59">
            <v>16.242647300020639</v>
          </cell>
          <cell r="F59">
            <v>22.397018722230271</v>
          </cell>
          <cell r="G59">
            <v>20.48791727061688</v>
          </cell>
          <cell r="H59">
            <v>20.69203459344817</v>
          </cell>
          <cell r="I59">
            <v>35.50122574656536</v>
          </cell>
          <cell r="J59">
            <v>79.670992442230144</v>
          </cell>
          <cell r="K59">
            <v>52.04773708504181</v>
          </cell>
          <cell r="L59">
            <v>48.030381332699548</v>
          </cell>
          <cell r="N59">
            <v>34.373910510375886</v>
          </cell>
          <cell r="O59">
            <v>37.869904014305334</v>
          </cell>
          <cell r="P59">
            <v>17.890004769213867</v>
          </cell>
          <cell r="Q59">
            <v>108.95559283769481</v>
          </cell>
          <cell r="R59">
            <v>36.26398571211385</v>
          </cell>
          <cell r="S59">
            <v>38.261043576688529</v>
          </cell>
          <cell r="T59">
            <v>57.688562660280937</v>
          </cell>
          <cell r="U59">
            <v>32.701459189977975</v>
          </cell>
          <cell r="V59">
            <v>38.429527505351579</v>
          </cell>
          <cell r="W59">
            <v>38.226593822856749</v>
          </cell>
          <cell r="Y59">
            <v>47.383101524441294</v>
          </cell>
          <cell r="Z59">
            <v>40.142119122495018</v>
          </cell>
          <cell r="AB59">
            <v>44.075836910176179</v>
          </cell>
          <cell r="AC59">
            <v>55.22195315042849</v>
          </cell>
          <cell r="AD59">
            <v>45.510200770387286</v>
          </cell>
          <cell r="AF59">
            <v>46.974625340750883</v>
          </cell>
          <cell r="AG59">
            <v>38.980776018587697</v>
          </cell>
          <cell r="AH59">
            <v>36.401285575073679</v>
          </cell>
        </row>
        <row r="60">
          <cell r="C60">
            <v>162.90336836502547</v>
          </cell>
          <cell r="D60">
            <v>104.07845938946036</v>
          </cell>
          <cell r="E60">
            <v>131.05841062648349</v>
          </cell>
          <cell r="F60">
            <v>46.71103730827344</v>
          </cell>
          <cell r="G60">
            <v>134.88725153224681</v>
          </cell>
          <cell r="H60">
            <v>91.75152388177473</v>
          </cell>
          <cell r="I60">
            <v>508.18871413058008</v>
          </cell>
          <cell r="J60">
            <v>59.458507902135558</v>
          </cell>
          <cell r="K60">
            <v>47.272093803638107</v>
          </cell>
          <cell r="L60">
            <v>136.76645286013232</v>
          </cell>
          <cell r="N60">
            <v>60.956216896069542</v>
          </cell>
          <cell r="O60">
            <v>21.291447490993804</v>
          </cell>
          <cell r="P60">
            <v>15.940903275424963</v>
          </cell>
          <cell r="Q60">
            <v>68.739954428696052</v>
          </cell>
          <cell r="R60">
            <v>86.140963738365201</v>
          </cell>
          <cell r="S60">
            <v>28.965871262486733</v>
          </cell>
          <cell r="T60">
            <v>70.181389121902143</v>
          </cell>
          <cell r="U60">
            <v>61.160111202154077</v>
          </cell>
          <cell r="V60">
            <v>33.330411144441427</v>
          </cell>
          <cell r="W60">
            <v>44.254138203638696</v>
          </cell>
          <cell r="Y60">
            <v>61.178213819319765</v>
          </cell>
          <cell r="Z60">
            <v>51.150927499473795</v>
          </cell>
          <cell r="AB60">
            <v>51.407324001820683</v>
          </cell>
          <cell r="AC60">
            <v>34.620189243772728</v>
          </cell>
          <cell r="AD60">
            <v>37.53402320111919</v>
          </cell>
          <cell r="AF60">
            <v>82.200221878217576</v>
          </cell>
          <cell r="AG60">
            <v>36.553918946096822</v>
          </cell>
          <cell r="AH60">
            <v>38.995716949533318</v>
          </cell>
        </row>
        <row r="61">
          <cell r="C61">
            <v>36.301472492451126</v>
          </cell>
          <cell r="D61">
            <v>14.074227558024994</v>
          </cell>
          <cell r="E61">
            <v>16.689543093365835</v>
          </cell>
          <cell r="F61">
            <v>12.487596621912196</v>
          </cell>
          <cell r="G61">
            <v>21.400801550918388</v>
          </cell>
          <cell r="H61">
            <v>18.594509467894444</v>
          </cell>
          <cell r="I61">
            <v>42.696527735818329</v>
          </cell>
          <cell r="J61">
            <v>27.414489703392334</v>
          </cell>
          <cell r="K61">
            <v>20.144618693016557</v>
          </cell>
          <cell r="L61">
            <v>36.099673533112465</v>
          </cell>
          <cell r="N61">
            <v>26.585890998791939</v>
          </cell>
          <cell r="O61">
            <v>10.830425720450005</v>
          </cell>
          <cell r="P61">
            <v>6.4498969274202205</v>
          </cell>
          <cell r="Q61">
            <v>27.225593463477249</v>
          </cell>
          <cell r="R61">
            <v>21.645594867298826</v>
          </cell>
          <cell r="S61">
            <v>14.50968789229697</v>
          </cell>
          <cell r="T61">
            <v>15.265396142988976</v>
          </cell>
          <cell r="U61">
            <v>18.815265528890286</v>
          </cell>
          <cell r="V61">
            <v>16.579772101737252</v>
          </cell>
          <cell r="W61">
            <v>14.555770950629475</v>
          </cell>
          <cell r="Y61">
            <v>22.61713844315209</v>
          </cell>
          <cell r="Z61">
            <v>25.379773668288522</v>
          </cell>
          <cell r="AB61">
            <v>20.015588298755493</v>
          </cell>
          <cell r="AC61">
            <v>19.639307937128688</v>
          </cell>
          <cell r="AD61">
            <v>22.998834921263118</v>
          </cell>
          <cell r="AF61">
            <v>24.646085741051611</v>
          </cell>
          <cell r="AG61">
            <v>16.59324449894849</v>
          </cell>
          <cell r="AH61">
            <v>18.304091714881039</v>
          </cell>
        </row>
        <row r="62">
          <cell r="C62">
            <v>1169.2546015341202</v>
          </cell>
          <cell r="D62">
            <v>866.1360283346811</v>
          </cell>
          <cell r="E62">
            <v>966.87711271625119</v>
          </cell>
          <cell r="F62">
            <v>693.73009095080056</v>
          </cell>
          <cell r="G62">
            <v>734.97006299753627</v>
          </cell>
          <cell r="H62">
            <v>882.95676030851314</v>
          </cell>
          <cell r="I62">
            <v>1486.1306810364154</v>
          </cell>
          <cell r="J62">
            <v>838.55349874675528</v>
          </cell>
          <cell r="K62">
            <v>431.63137931539598</v>
          </cell>
          <cell r="L62">
            <v>1205.0616852566081</v>
          </cell>
          <cell r="N62">
            <v>568.72857171781357</v>
          </cell>
          <cell r="O62">
            <v>184.92047081651549</v>
          </cell>
          <cell r="P62">
            <v>182.35625810755266</v>
          </cell>
          <cell r="Q62">
            <v>693.12699153723906</v>
          </cell>
          <cell r="R62">
            <v>757.06113744428706</v>
          </cell>
          <cell r="S62">
            <v>312.62055524745404</v>
          </cell>
          <cell r="T62">
            <v>599.1963548804041</v>
          </cell>
          <cell r="U62">
            <v>594.05122010991431</v>
          </cell>
          <cell r="V62">
            <v>342.31943395056334</v>
          </cell>
          <cell r="W62">
            <v>509.2442144819276</v>
          </cell>
          <cell r="Y62">
            <v>671.10429092649315</v>
          </cell>
          <cell r="Z62">
            <v>549.08803514801366</v>
          </cell>
          <cell r="AB62">
            <v>513.57887807860664</v>
          </cell>
          <cell r="AC62">
            <v>378.84866692972537</v>
          </cell>
          <cell r="AD62">
            <v>372.82099263714611</v>
          </cell>
          <cell r="AF62">
            <v>738.73688782647071</v>
          </cell>
          <cell r="AG62">
            <v>434.36501842484381</v>
          </cell>
          <cell r="AH62">
            <v>352.15461445503621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931B-4E4B-2C46-8AAC-C71BDEE6E770}">
  <dimension ref="A1:AJ65"/>
  <sheetViews>
    <sheetView zoomScale="110" zoomScaleNormal="11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K16" sqref="K16"/>
    </sheetView>
  </sheetViews>
  <sheetFormatPr baseColWidth="10" defaultColWidth="8.83203125" defaultRowHeight="15" x14ac:dyDescent="0.2"/>
  <cols>
    <col min="2" max="2" width="31.1640625" customWidth="1"/>
    <col min="3" max="9" width="10.5" bestFit="1" customWidth="1"/>
    <col min="10" max="10" width="11.83203125" customWidth="1"/>
    <col min="11" max="11" width="12" customWidth="1"/>
    <col min="12" max="12" width="10.5" customWidth="1"/>
    <col min="13" max="14" width="10.5" bestFit="1" customWidth="1"/>
    <col min="15" max="15" width="11.5" bestFit="1" customWidth="1"/>
    <col min="16" max="17" width="10.5" bestFit="1" customWidth="1"/>
    <col min="18" max="18" width="10" customWidth="1"/>
    <col min="19" max="19" width="10.83203125" customWidth="1"/>
    <col min="20" max="20" width="10.5" customWidth="1"/>
    <col min="21" max="22" width="10.83203125" customWidth="1"/>
    <col min="23" max="23" width="11" customWidth="1"/>
    <col min="24" max="24" width="9.6640625" bestFit="1" customWidth="1"/>
    <col min="25" max="27" width="10.5" customWidth="1"/>
    <col min="28" max="28" width="11.1640625" customWidth="1"/>
    <col min="29" max="30" width="10.6640625" customWidth="1"/>
    <col min="31" max="31" width="10.83203125" customWidth="1"/>
    <col min="32" max="32" width="10.1640625" customWidth="1"/>
    <col min="33" max="34" width="10.33203125" customWidth="1"/>
  </cols>
  <sheetData>
    <row r="1" spans="1:36" ht="22" x14ac:dyDescent="0.3">
      <c r="A1" s="1" t="s">
        <v>0</v>
      </c>
      <c r="B1" s="1"/>
    </row>
    <row r="2" spans="1:36" ht="16" x14ac:dyDescent="0.2">
      <c r="A2" s="2" t="s">
        <v>1</v>
      </c>
      <c r="B2" s="3"/>
    </row>
    <row r="3" spans="1:36" x14ac:dyDescent="0.2">
      <c r="A3" s="4" t="s">
        <v>2</v>
      </c>
      <c r="B3" s="4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14"/>
      <c r="L3" s="5" t="s">
        <v>12</v>
      </c>
      <c r="M3" s="7"/>
      <c r="N3" s="5" t="s">
        <v>13</v>
      </c>
      <c r="O3" s="5" t="s">
        <v>14</v>
      </c>
      <c r="P3" s="5" t="s">
        <v>15</v>
      </c>
      <c r="Q3" s="14"/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7"/>
      <c r="Y3" s="5" t="s">
        <v>23</v>
      </c>
      <c r="Z3" s="14"/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6" t="s">
        <v>31</v>
      </c>
      <c r="AH3" s="5" t="s">
        <v>32</v>
      </c>
      <c r="AI3" s="7"/>
      <c r="AJ3" s="7"/>
    </row>
    <row r="4" spans="1:36" x14ac:dyDescent="0.2">
      <c r="A4" t="s">
        <v>33</v>
      </c>
      <c r="C4" s="8">
        <f>'[1]eWAT - GC Results (nmol g)'!C4/1000</f>
        <v>8.7518890963272731E-3</v>
      </c>
      <c r="D4" s="8">
        <f>'[1]eWAT - GC Results (nmol g)'!D4/1000</f>
        <v>1.2384796598582286E-2</v>
      </c>
      <c r="E4" s="8">
        <f>'[1]eWAT - GC Results (nmol g)'!E4/1000</f>
        <v>1.0041128283380819E-2</v>
      </c>
      <c r="F4" s="8">
        <f>'[1]eWAT - GC Results (nmol g)'!F4/1000</f>
        <v>1.4178849495826035E-2</v>
      </c>
      <c r="G4" s="8">
        <f>'[1]eWAT - GC Results (nmol g)'!G4/1000</f>
        <v>1.2017351414030009E-2</v>
      </c>
      <c r="H4" s="8">
        <f>'[1]eWAT - GC Results (nmol g)'!H4/1000</f>
        <v>1.9435232375942534E-2</v>
      </c>
      <c r="I4" s="8">
        <f>'[1]eWAT - GC Results (nmol g)'!I4/1000</f>
        <v>8.4483379377978743E-3</v>
      </c>
      <c r="J4" s="8">
        <f>'[1]eWAT - GC Results (nmol g)'!J4/1000</f>
        <v>9.7870029930504487E-3</v>
      </c>
      <c r="K4" s="15"/>
      <c r="L4" s="8">
        <f>'[1]eWAT - GC Results (nmol g)'!L4/1000</f>
        <v>2.6526409381815393E-2</v>
      </c>
      <c r="M4" s="8"/>
      <c r="N4" s="8">
        <f>'[1]eWAT - GC Results (nmol g)'!N4/1000</f>
        <v>9.6093339041925831E-3</v>
      </c>
      <c r="O4" s="8">
        <f>'[1]eWAT - GC Results (nmol g)'!O4/1000</f>
        <v>1.8174712172647874E-2</v>
      </c>
      <c r="P4" s="8">
        <f>'[1]eWAT - GC Results (nmol g)'!P4/1000</f>
        <v>2.16476230984043E-2</v>
      </c>
      <c r="Q4" s="15"/>
      <c r="R4" s="8">
        <f>'[1]eWAT - GC Results (nmol g)'!R4/1000</f>
        <v>3.7070223412738058E-2</v>
      </c>
      <c r="S4" s="8">
        <f>'[1]eWAT - GC Results (nmol g)'!S4/1000</f>
        <v>1.9213378840209266E-2</v>
      </c>
      <c r="T4" s="8">
        <f>'[1]eWAT - GC Results (nmol g)'!T4/1000</f>
        <v>1.1908214639781534E-2</v>
      </c>
      <c r="U4" s="8">
        <f>'[1]eWAT - GC Results (nmol g)'!U4/1000</f>
        <v>1.2666259011403209E-2</v>
      </c>
      <c r="V4" s="8">
        <f>'[1]eWAT - GC Results (nmol g)'!V4/1000</f>
        <v>1.339584664792315E-2</v>
      </c>
      <c r="W4" s="8">
        <f>'[1]eWAT - GC Results (nmol g)'!W4/1000</f>
        <v>1.6457128559680213E-2</v>
      </c>
      <c r="X4" s="8"/>
      <c r="Y4" s="8">
        <f>'[1]eWAT - GC Results (nmol g)'!Y4/1000</f>
        <v>9.487398315367223E-3</v>
      </c>
      <c r="Z4" s="15"/>
      <c r="AA4" s="8">
        <f>'[1]eWAT - GC Results (nmol g)'!AA4/1000</f>
        <v>1.5051845213861546E-2</v>
      </c>
      <c r="AB4" s="8">
        <f>'[1]eWAT - GC Results (nmol g)'!AB4/1000</f>
        <v>1.1055989561476177E-2</v>
      </c>
      <c r="AC4" s="8">
        <f>'[1]eWAT - GC Results (nmol g)'!AC4/1000</f>
        <v>1.2400411700882082E-2</v>
      </c>
      <c r="AD4" s="8">
        <f>'[1]eWAT - GC Results (nmol g)'!AD4/1000</f>
        <v>1.0651206454161295E-2</v>
      </c>
      <c r="AE4" s="8">
        <f>'[1]eWAT - GC Results (nmol g)'!AE4/1000</f>
        <v>1.19702564771291E-2</v>
      </c>
      <c r="AF4" s="8">
        <f>'[1]eWAT - GC Results (nmol g)'!AF4/1000</f>
        <v>8.8196299945361174E-3</v>
      </c>
      <c r="AG4" s="8">
        <f>'[1]eWAT - GC Results (nmol g)'!AG4/1000</f>
        <v>2.4944994206869263E-2</v>
      </c>
      <c r="AH4" s="8">
        <f>'[1]eWAT - GC Results (nmol g)'!AH4/1000</f>
        <v>9.9549464767242808E-3</v>
      </c>
      <c r="AI4" s="9"/>
      <c r="AJ4" s="9"/>
    </row>
    <row r="5" spans="1:36" x14ac:dyDescent="0.2">
      <c r="A5" t="s">
        <v>34</v>
      </c>
      <c r="C5" s="8">
        <f>'[1]eWAT - GC Results (nmol g)'!C5/1000</f>
        <v>0</v>
      </c>
      <c r="D5" s="8">
        <f>'[1]eWAT - GC Results (nmol g)'!D5/1000</f>
        <v>0</v>
      </c>
      <c r="E5" s="8">
        <f>'[1]eWAT - GC Results (nmol g)'!E5/1000</f>
        <v>0</v>
      </c>
      <c r="F5" s="8">
        <f>'[1]eWAT - GC Results (nmol g)'!F5/1000</f>
        <v>0</v>
      </c>
      <c r="G5" s="8">
        <f>'[1]eWAT - GC Results (nmol g)'!G5/1000</f>
        <v>0</v>
      </c>
      <c r="H5" s="8">
        <f>'[1]eWAT - GC Results (nmol g)'!H5/1000</f>
        <v>0</v>
      </c>
      <c r="I5" s="8">
        <f>'[1]eWAT - GC Results (nmol g)'!I5/1000</f>
        <v>0</v>
      </c>
      <c r="J5" s="8">
        <f>'[1]eWAT - GC Results (nmol g)'!J5/1000</f>
        <v>0</v>
      </c>
      <c r="K5" s="15"/>
      <c r="L5" s="8">
        <f>'[1]eWAT - GC Results (nmol g)'!L5/1000</f>
        <v>0</v>
      </c>
      <c r="M5" s="8"/>
      <c r="N5" s="8">
        <f>'[1]eWAT - GC Results (nmol g)'!N5/1000</f>
        <v>0</v>
      </c>
      <c r="O5" s="8">
        <f>'[1]eWAT - GC Results (nmol g)'!O5/1000</f>
        <v>0</v>
      </c>
      <c r="P5" s="8">
        <f>'[1]eWAT - GC Results (nmol g)'!P5/1000</f>
        <v>0</v>
      </c>
      <c r="Q5" s="15"/>
      <c r="R5" s="8">
        <f>'[1]eWAT - GC Results (nmol g)'!R5/1000</f>
        <v>0</v>
      </c>
      <c r="S5" s="8">
        <f>'[1]eWAT - GC Results (nmol g)'!S5/1000</f>
        <v>0</v>
      </c>
      <c r="T5" s="8">
        <f>'[1]eWAT - GC Results (nmol g)'!T5/1000</f>
        <v>0</v>
      </c>
      <c r="U5" s="8">
        <f>'[1]eWAT - GC Results (nmol g)'!U5/1000</f>
        <v>0</v>
      </c>
      <c r="V5" s="8">
        <f>'[1]eWAT - GC Results (nmol g)'!V5/1000</f>
        <v>0</v>
      </c>
      <c r="W5" s="8">
        <f>'[1]eWAT - GC Results (nmol g)'!W5/1000</f>
        <v>0</v>
      </c>
      <c r="X5" s="8"/>
      <c r="Y5" s="8">
        <f>'[1]eWAT - GC Results (nmol g)'!Y5/1000</f>
        <v>0</v>
      </c>
      <c r="Z5" s="15"/>
      <c r="AA5" s="8">
        <f>'[1]eWAT - GC Results (nmol g)'!AA5/1000</f>
        <v>0</v>
      </c>
      <c r="AB5" s="8">
        <f>'[1]eWAT - GC Results (nmol g)'!AB5/1000</f>
        <v>0</v>
      </c>
      <c r="AC5" s="8">
        <f>'[1]eWAT - GC Results (nmol g)'!AC5/1000</f>
        <v>0</v>
      </c>
      <c r="AD5" s="8">
        <f>'[1]eWAT - GC Results (nmol g)'!AD5/1000</f>
        <v>0</v>
      </c>
      <c r="AE5" s="8">
        <f>'[1]eWAT - GC Results (nmol g)'!AE5/1000</f>
        <v>0</v>
      </c>
      <c r="AF5" s="8">
        <f>'[1]eWAT - GC Results (nmol g)'!AF5/1000</f>
        <v>0</v>
      </c>
      <c r="AG5" s="8">
        <f>'[1]eWAT - GC Results (nmol g)'!AG5/1000</f>
        <v>0</v>
      </c>
      <c r="AH5" s="8">
        <f>'[1]eWAT - GC Results (nmol g)'!AH5/1000</f>
        <v>0</v>
      </c>
      <c r="AI5" s="9"/>
      <c r="AJ5" s="9"/>
    </row>
    <row r="6" spans="1:36" x14ac:dyDescent="0.2">
      <c r="A6" t="s">
        <v>35</v>
      </c>
      <c r="C6" s="8">
        <f>'[1]eWAT - GC Results (nmol g)'!C6/1000</f>
        <v>8.8116198683613894E-2</v>
      </c>
      <c r="D6" s="8">
        <f>'[1]eWAT - GC Results (nmol g)'!D6/1000</f>
        <v>0.1954681932987864</v>
      </c>
      <c r="E6" s="8">
        <f>'[1]eWAT - GC Results (nmol g)'!E6/1000</f>
        <v>0.15906216861890515</v>
      </c>
      <c r="F6" s="8">
        <f>'[1]eWAT - GC Results (nmol g)'!F6/1000</f>
        <v>0.12589364198128322</v>
      </c>
      <c r="G6" s="8">
        <f>'[1]eWAT - GC Results (nmol g)'!G6/1000</f>
        <v>0.11717596595535974</v>
      </c>
      <c r="H6" s="8">
        <f>'[1]eWAT - GC Results (nmol g)'!H6/1000</f>
        <v>0.11910385068942668</v>
      </c>
      <c r="I6" s="8">
        <f>'[1]eWAT - GC Results (nmol g)'!I6/1000</f>
        <v>0.14102317076337412</v>
      </c>
      <c r="J6" s="8">
        <f>'[1]eWAT - GC Results (nmol g)'!J6/1000</f>
        <v>0.16482294701098513</v>
      </c>
      <c r="K6" s="15"/>
      <c r="L6" s="8">
        <f>'[1]eWAT - GC Results (nmol g)'!L6/1000</f>
        <v>0.17068352030098202</v>
      </c>
      <c r="M6" s="8"/>
      <c r="N6" s="8">
        <f>'[1]eWAT - GC Results (nmol g)'!N6/1000</f>
        <v>0.10357192583448928</v>
      </c>
      <c r="O6" s="8">
        <f>'[1]eWAT - GC Results (nmol g)'!O6/1000</f>
        <v>0.10956067226469478</v>
      </c>
      <c r="P6" s="8">
        <f>'[1]eWAT - GC Results (nmol g)'!P6/1000</f>
        <v>0.16782262016911376</v>
      </c>
      <c r="Q6" s="15"/>
      <c r="R6" s="8">
        <f>'[1]eWAT - GC Results (nmol g)'!R6/1000</f>
        <v>0.14945667466077706</v>
      </c>
      <c r="S6" s="8">
        <f>'[1]eWAT - GC Results (nmol g)'!S6/1000</f>
        <v>0.15047085840845603</v>
      </c>
      <c r="T6" s="8">
        <f>'[1]eWAT - GC Results (nmol g)'!T6/1000</f>
        <v>0.17813141522709813</v>
      </c>
      <c r="U6" s="8">
        <f>'[1]eWAT - GC Results (nmol g)'!U6/1000</f>
        <v>0.1117312162196442</v>
      </c>
      <c r="V6" s="8">
        <f>'[1]eWAT - GC Results (nmol g)'!V6/1000</f>
        <v>0.29018162624199562</v>
      </c>
      <c r="W6" s="8">
        <f>'[1]eWAT - GC Results (nmol g)'!W6/1000</f>
        <v>0.11495760947842822</v>
      </c>
      <c r="X6" s="8"/>
      <c r="Y6" s="8">
        <f>'[1]eWAT - GC Results (nmol g)'!Y6/1000</f>
        <v>8.1534216961642855E-2</v>
      </c>
      <c r="Z6" s="15"/>
      <c r="AA6" s="8">
        <f>'[1]eWAT - GC Results (nmol g)'!AA6/1000</f>
        <v>0.10597234293583541</v>
      </c>
      <c r="AB6" s="8">
        <f>'[1]eWAT - GC Results (nmol g)'!AB6/1000</f>
        <v>7.7057136522059061E-2</v>
      </c>
      <c r="AC6" s="8">
        <f>'[1]eWAT - GC Results (nmol g)'!AC6/1000</f>
        <v>8.890204619532345E-2</v>
      </c>
      <c r="AD6" s="8">
        <f>'[1]eWAT - GC Results (nmol g)'!AD6/1000</f>
        <v>0.14173522904801913</v>
      </c>
      <c r="AE6" s="8">
        <f>'[1]eWAT - GC Results (nmol g)'!AE6/1000</f>
        <v>9.7395568502144106E-2</v>
      </c>
      <c r="AF6" s="8">
        <f>'[1]eWAT - GC Results (nmol g)'!AF6/1000</f>
        <v>9.0179413229048669E-2</v>
      </c>
      <c r="AG6" s="8">
        <f>'[1]eWAT - GC Results (nmol g)'!AG6/1000</f>
        <v>0.32040880378616615</v>
      </c>
      <c r="AH6" s="8">
        <f>'[1]eWAT - GC Results (nmol g)'!AH6/1000</f>
        <v>7.3737170782041561E-2</v>
      </c>
      <c r="AI6" s="9"/>
      <c r="AJ6" s="9"/>
    </row>
    <row r="7" spans="1:36" x14ac:dyDescent="0.2">
      <c r="A7" t="s">
        <v>36</v>
      </c>
      <c r="C7" s="8">
        <f>'[1]eWAT - GC Results (nmol g)'!C7/1000</f>
        <v>1.0713194205511502E-2</v>
      </c>
      <c r="D7" s="8">
        <f>'[1]eWAT - GC Results (nmol g)'!D7/1000</f>
        <v>2.9461068209592319E-2</v>
      </c>
      <c r="E7" s="8">
        <f>'[1]eWAT - GC Results (nmol g)'!E7/1000</f>
        <v>1.8192512100137358E-2</v>
      </c>
      <c r="F7" s="8">
        <f>'[1]eWAT - GC Results (nmol g)'!F7/1000</f>
        <v>1.0992769441167935E-2</v>
      </c>
      <c r="G7" s="8">
        <f>'[1]eWAT - GC Results (nmol g)'!G7/1000</f>
        <v>1.3711520283573473E-2</v>
      </c>
      <c r="H7" s="8">
        <f>'[1]eWAT - GC Results (nmol g)'!H7/1000</f>
        <v>1.6509674485527655E-2</v>
      </c>
      <c r="I7" s="8">
        <f>'[1]eWAT - GC Results (nmol g)'!I7/1000</f>
        <v>9.6571999021403711E-3</v>
      </c>
      <c r="J7" s="8">
        <f>'[1]eWAT - GC Results (nmol g)'!J7/1000</f>
        <v>2.6211479697206334E-2</v>
      </c>
      <c r="K7" s="15"/>
      <c r="L7" s="8">
        <f>'[1]eWAT - GC Results (nmol g)'!L7/1000</f>
        <v>2.0524592146206992E-2</v>
      </c>
      <c r="M7" s="8"/>
      <c r="N7" s="8">
        <f>'[1]eWAT - GC Results (nmol g)'!N7/1000</f>
        <v>1.4973334735904785E-2</v>
      </c>
      <c r="O7" s="8">
        <f>'[1]eWAT - GC Results (nmol g)'!O7/1000</f>
        <v>2.0073382367914634E-2</v>
      </c>
      <c r="P7" s="8">
        <f>'[1]eWAT - GC Results (nmol g)'!P7/1000</f>
        <v>2.4493427770118873E-2</v>
      </c>
      <c r="Q7" s="15"/>
      <c r="R7" s="8">
        <f>'[1]eWAT - GC Results (nmol g)'!R7/1000</f>
        <v>2.6089157157222192E-2</v>
      </c>
      <c r="S7" s="8">
        <f>'[1]eWAT - GC Results (nmol g)'!S7/1000</f>
        <v>1.4430843570272488E-2</v>
      </c>
      <c r="T7" s="8">
        <f>'[1]eWAT - GC Results (nmol g)'!T7/1000</f>
        <v>1.2302607466297034E-2</v>
      </c>
      <c r="U7" s="8">
        <f>'[1]eWAT - GC Results (nmol g)'!U7/1000</f>
        <v>2.0079067909022461E-2</v>
      </c>
      <c r="V7" s="8">
        <f>'[1]eWAT - GC Results (nmol g)'!V7/1000</f>
        <v>4.1421822003398688E-2</v>
      </c>
      <c r="W7" s="8">
        <f>'[1]eWAT - GC Results (nmol g)'!W7/1000</f>
        <v>2.5826086524275465E-2</v>
      </c>
      <c r="X7" s="8"/>
      <c r="Y7" s="8">
        <f>'[1]eWAT - GC Results (nmol g)'!Y7/1000</f>
        <v>1.2438291431600116E-2</v>
      </c>
      <c r="Z7" s="15"/>
      <c r="AA7" s="8">
        <f>'[1]eWAT - GC Results (nmol g)'!AA7/1000</f>
        <v>8.2816939343539151E-3</v>
      </c>
      <c r="AB7" s="8">
        <f>'[1]eWAT - GC Results (nmol g)'!AB7/1000</f>
        <v>8.3525879824244663E-3</v>
      </c>
      <c r="AC7" s="8">
        <f>'[1]eWAT - GC Results (nmol g)'!AC7/1000</f>
        <v>1.0825317166260002E-2</v>
      </c>
      <c r="AD7" s="8">
        <f>'[1]eWAT - GC Results (nmol g)'!AD7/1000</f>
        <v>2.1774962703400208E-2</v>
      </c>
      <c r="AE7" s="8">
        <f>'[1]eWAT - GC Results (nmol g)'!AE7/1000</f>
        <v>1.6207259046989747E-2</v>
      </c>
      <c r="AF7" s="8">
        <f>'[1]eWAT - GC Results (nmol g)'!AF7/1000</f>
        <v>1.0133275823491394E-2</v>
      </c>
      <c r="AG7" s="8">
        <f>'[1]eWAT - GC Results (nmol g)'!AG7/1000</f>
        <v>5.8897051253584923E-2</v>
      </c>
      <c r="AH7" s="8">
        <f>'[1]eWAT - GC Results (nmol g)'!AH7/1000</f>
        <v>1.1502847564489275E-2</v>
      </c>
      <c r="AI7" s="9"/>
      <c r="AJ7" s="9"/>
    </row>
    <row r="8" spans="1:36" x14ac:dyDescent="0.2">
      <c r="A8" t="s">
        <v>37</v>
      </c>
      <c r="C8" s="8">
        <f>'[1]eWAT - GC Results (nmol g)'!C8/1000</f>
        <v>4.829621663953642E-2</v>
      </c>
      <c r="D8" s="8">
        <f>'[1]eWAT - GC Results (nmol g)'!D8/1000</f>
        <v>7.068684387395785E-2</v>
      </c>
      <c r="E8" s="8">
        <f>'[1]eWAT - GC Results (nmol g)'!E8/1000</f>
        <v>8.0099037251939162E-2</v>
      </c>
      <c r="F8" s="8">
        <f>'[1]eWAT - GC Results (nmol g)'!F8/1000</f>
        <v>7.1194825550135468E-2</v>
      </c>
      <c r="G8" s="8">
        <f>'[1]eWAT - GC Results (nmol g)'!G8/1000</f>
        <v>6.6632706811726561E-2</v>
      </c>
      <c r="H8" s="8">
        <f>'[1]eWAT - GC Results (nmol g)'!H8/1000</f>
        <v>9.3632330171977751E-2</v>
      </c>
      <c r="I8" s="8">
        <f>'[1]eWAT - GC Results (nmol g)'!I8/1000</f>
        <v>7.0044082274772046E-2</v>
      </c>
      <c r="J8" s="8">
        <f>'[1]eWAT - GC Results (nmol g)'!J8/1000</f>
        <v>7.1101038319527729E-2</v>
      </c>
      <c r="K8" s="15"/>
      <c r="L8" s="8">
        <f>'[1]eWAT - GC Results (nmol g)'!L8/1000</f>
        <v>0.12965058139515753</v>
      </c>
      <c r="M8" s="8"/>
      <c r="N8" s="8">
        <f>'[1]eWAT - GC Results (nmol g)'!N8/1000</f>
        <v>6.3246004872973938E-2</v>
      </c>
      <c r="O8" s="8">
        <f>'[1]eWAT - GC Results (nmol g)'!O8/1000</f>
        <v>6.9101446847847747E-2</v>
      </c>
      <c r="P8" s="8">
        <f>'[1]eWAT - GC Results (nmol g)'!P8/1000</f>
        <v>0.16789337075490954</v>
      </c>
      <c r="Q8" s="15"/>
      <c r="R8" s="8">
        <f>'[1]eWAT - GC Results (nmol g)'!R8/1000</f>
        <v>8.8087242178020289E-2</v>
      </c>
      <c r="S8" s="8">
        <f>'[1]eWAT - GC Results (nmol g)'!S8/1000</f>
        <v>9.2730875676318741E-2</v>
      </c>
      <c r="T8" s="8">
        <f>'[1]eWAT - GC Results (nmol g)'!T8/1000</f>
        <v>0.10146793333348336</v>
      </c>
      <c r="U8" s="8">
        <f>'[1]eWAT - GC Results (nmol g)'!U8/1000</f>
        <v>7.9073462762483809E-2</v>
      </c>
      <c r="V8" s="8">
        <f>'[1]eWAT - GC Results (nmol g)'!V8/1000</f>
        <v>0.12518552586698234</v>
      </c>
      <c r="W8" s="8">
        <f>'[1]eWAT - GC Results (nmol g)'!W8/1000</f>
        <v>9.3006684941004461E-2</v>
      </c>
      <c r="X8" s="8"/>
      <c r="Y8" s="8">
        <f>'[1]eWAT - GC Results (nmol g)'!Y8/1000</f>
        <v>5.7090404085350863E-2</v>
      </c>
      <c r="Z8" s="15"/>
      <c r="AA8" s="8">
        <f>'[1]eWAT - GC Results (nmol g)'!AA8/1000</f>
        <v>6.3668433509019823E-2</v>
      </c>
      <c r="AB8" s="8">
        <f>'[1]eWAT - GC Results (nmol g)'!AB8/1000</f>
        <v>4.8518085307371187E-2</v>
      </c>
      <c r="AC8" s="8">
        <f>'[1]eWAT - GC Results (nmol g)'!AC8/1000</f>
        <v>5.5111139748570362E-2</v>
      </c>
      <c r="AD8" s="8">
        <f>'[1]eWAT - GC Results (nmol g)'!AD8/1000</f>
        <v>6.8590205926454498E-2</v>
      </c>
      <c r="AE8" s="8">
        <f>'[1]eWAT - GC Results (nmol g)'!AE8/1000</f>
        <v>6.3910559459577743E-2</v>
      </c>
      <c r="AF8" s="8">
        <f>'[1]eWAT - GC Results (nmol g)'!AF8/1000</f>
        <v>5.563965510484644E-2</v>
      </c>
      <c r="AG8" s="8">
        <f>'[1]eWAT - GC Results (nmol g)'!AG8/1000</f>
        <v>0.12671903034365339</v>
      </c>
      <c r="AH8" s="8">
        <f>'[1]eWAT - GC Results (nmol g)'!AH8/1000</f>
        <v>5.0895788642930373E-2</v>
      </c>
      <c r="AI8" s="9"/>
      <c r="AJ8" s="9"/>
    </row>
    <row r="9" spans="1:36" x14ac:dyDescent="0.2">
      <c r="A9" t="s">
        <v>38</v>
      </c>
      <c r="C9" s="8">
        <f>'[1]eWAT - GC Results (nmol g)'!C9/1000</f>
        <v>3.94776537960995E-2</v>
      </c>
      <c r="D9" s="8">
        <f>'[1]eWAT - GC Results (nmol g)'!D9/1000</f>
        <v>0.15245767405925095</v>
      </c>
      <c r="E9" s="8">
        <f>'[1]eWAT - GC Results (nmol g)'!E9/1000</f>
        <v>9.6978841526204909E-2</v>
      </c>
      <c r="F9" s="8">
        <f>'[1]eWAT - GC Results (nmol g)'!F9/1000</f>
        <v>3.6927266809549712E-2</v>
      </c>
      <c r="G9" s="8">
        <f>'[1]eWAT - GC Results (nmol g)'!G9/1000</f>
        <v>4.7027996458808709E-2</v>
      </c>
      <c r="H9" s="8">
        <f>'[1]eWAT - GC Results (nmol g)'!H9/1000</f>
        <v>4.0853113206827683E-2</v>
      </c>
      <c r="I9" s="8">
        <f>'[1]eWAT - GC Results (nmol g)'!I9/1000</f>
        <v>1.4460936601487302E-2</v>
      </c>
      <c r="J9" s="8">
        <f>'[1]eWAT - GC Results (nmol g)'!J9/1000</f>
        <v>0.13811792392907821</v>
      </c>
      <c r="K9" s="15"/>
      <c r="L9" s="8">
        <f>'[1]eWAT - GC Results (nmol g)'!L9/1000</f>
        <v>4.3549649534994572E-2</v>
      </c>
      <c r="M9" s="8"/>
      <c r="N9" s="8">
        <f>'[1]eWAT - GC Results (nmol g)'!N9/1000</f>
        <v>2.7042542413600896E-2</v>
      </c>
      <c r="O9" s="8">
        <f>'[1]eWAT - GC Results (nmol g)'!O9/1000</f>
        <v>3.1770842932951092E-2</v>
      </c>
      <c r="P9" s="8">
        <f>'[1]eWAT - GC Results (nmol g)'!P9/1000</f>
        <v>5.7720366877516575E-2</v>
      </c>
      <c r="Q9" s="15"/>
      <c r="R9" s="8">
        <f>'[1]eWAT - GC Results (nmol g)'!R9/1000</f>
        <v>6.5081012515535969E-2</v>
      </c>
      <c r="S9" s="8">
        <f>'[1]eWAT - GC Results (nmol g)'!S9/1000</f>
        <v>7.5380828137508002E-2</v>
      </c>
      <c r="T9" s="8">
        <f>'[1]eWAT - GC Results (nmol g)'!T9/1000</f>
        <v>6.3498199427374766E-2</v>
      </c>
      <c r="U9" s="8">
        <f>'[1]eWAT - GC Results (nmol g)'!U9/1000</f>
        <v>3.949765954784519E-2</v>
      </c>
      <c r="V9" s="8">
        <f>'[1]eWAT - GC Results (nmol g)'!V9/1000</f>
        <v>0.27337640655834861</v>
      </c>
      <c r="W9" s="8">
        <f>'[1]eWAT - GC Results (nmol g)'!W9/1000</f>
        <v>4.2709716186793499E-2</v>
      </c>
      <c r="X9" s="8"/>
      <c r="Y9" s="8">
        <f>'[1]eWAT - GC Results (nmol g)'!Y9/1000</f>
        <v>2.7746407434699132E-2</v>
      </c>
      <c r="Z9" s="15"/>
      <c r="AA9" s="8">
        <f>'[1]eWAT - GC Results (nmol g)'!AA9/1000</f>
        <v>3.2097542478939173E-2</v>
      </c>
      <c r="AB9" s="8">
        <f>'[1]eWAT - GC Results (nmol g)'!AB9/1000</f>
        <v>2.5069304379394093E-2</v>
      </c>
      <c r="AC9" s="8">
        <f>'[1]eWAT - GC Results (nmol g)'!AC9/1000</f>
        <v>3.542769505670109E-2</v>
      </c>
      <c r="AD9" s="8">
        <f>'[1]eWAT - GC Results (nmol g)'!AD9/1000</f>
        <v>0.1089484888849932</v>
      </c>
      <c r="AE9" s="8">
        <f>'[1]eWAT - GC Results (nmol g)'!AE9/1000</f>
        <v>3.5378814730314526E-2</v>
      </c>
      <c r="AF9" s="8">
        <f>'[1]eWAT - GC Results (nmol g)'!AF9/1000</f>
        <v>2.8939352558624912E-2</v>
      </c>
      <c r="AG9" s="8">
        <f>'[1]eWAT - GC Results (nmol g)'!AG9/1000</f>
        <v>0.31118386141904164</v>
      </c>
      <c r="AH9" s="8">
        <f>'[1]eWAT - GC Results (nmol g)'!AH9/1000</f>
        <v>2.4325202932209637E-2</v>
      </c>
      <c r="AI9" s="9"/>
      <c r="AJ9" s="9"/>
    </row>
    <row r="10" spans="1:36" x14ac:dyDescent="0.2">
      <c r="A10" t="s">
        <v>39</v>
      </c>
      <c r="C10" s="8">
        <f>'[1]eWAT - GC Results (nmol g)'!C10/1000</f>
        <v>7.0990608628623345E-3</v>
      </c>
      <c r="D10" s="8">
        <f>'[1]eWAT - GC Results (nmol g)'!D10/1000</f>
        <v>5.5470528747134186E-2</v>
      </c>
      <c r="E10" s="8">
        <f>'[1]eWAT - GC Results (nmol g)'!E10/1000</f>
        <v>2.5638541483233687E-2</v>
      </c>
      <c r="F10" s="8">
        <f>'[1]eWAT - GC Results (nmol g)'!F10/1000</f>
        <v>3.4771253921346119E-3</v>
      </c>
      <c r="G10" s="8">
        <f>'[1]eWAT - GC Results (nmol g)'!G10/1000</f>
        <v>3.2443737866691851E-3</v>
      </c>
      <c r="H10" s="8">
        <f>'[1]eWAT - GC Results (nmol g)'!H10/1000</f>
        <v>8.6048904648335679E-3</v>
      </c>
      <c r="I10" s="8">
        <f>'[1]eWAT - GC Results (nmol g)'!I10/1000</f>
        <v>1.576978136553253E-3</v>
      </c>
      <c r="J10" s="8">
        <f>'[1]eWAT - GC Results (nmol g)'!J10/1000</f>
        <v>3.3795302034762012E-2</v>
      </c>
      <c r="K10" s="15"/>
      <c r="L10" s="8">
        <f>'[1]eWAT - GC Results (nmol g)'!L10/1000</f>
        <v>1.0527696678231167E-2</v>
      </c>
      <c r="M10" s="8"/>
      <c r="N10" s="8">
        <f>'[1]eWAT - GC Results (nmol g)'!N10/1000</f>
        <v>6.056501903366136E-3</v>
      </c>
      <c r="O10" s="8">
        <f>'[1]eWAT - GC Results (nmol g)'!O10/1000</f>
        <v>1.0555626212833184E-2</v>
      </c>
      <c r="P10" s="8">
        <f>'[1]eWAT - GC Results (nmol g)'!P10/1000</f>
        <v>8.2946808770666871E-3</v>
      </c>
      <c r="Q10" s="15"/>
      <c r="R10" s="8">
        <f>'[1]eWAT - GC Results (nmol g)'!R10/1000</f>
        <v>3.1376183190167467E-2</v>
      </c>
      <c r="S10" s="8">
        <f>'[1]eWAT - GC Results (nmol g)'!S10/1000</f>
        <v>1.2995681541005194E-2</v>
      </c>
      <c r="T10" s="8">
        <f>'[1]eWAT - GC Results (nmol g)'!T10/1000</f>
        <v>6.6686189598994189E-3</v>
      </c>
      <c r="U10" s="8">
        <f>'[1]eWAT - GC Results (nmol g)'!U10/1000</f>
        <v>8.0867904597586686E-3</v>
      </c>
      <c r="V10" s="8">
        <f>'[1]eWAT - GC Results (nmol g)'!V10/1000</f>
        <v>3.3869482959838111E-2</v>
      </c>
      <c r="W10" s="8">
        <f>'[1]eWAT - GC Results (nmol g)'!W10/1000</f>
        <v>6.1291119419393577E-3</v>
      </c>
      <c r="X10" s="8"/>
      <c r="Y10" s="8">
        <f>'[1]eWAT - GC Results (nmol g)'!Y10/1000</f>
        <v>4.7127701469336378E-3</v>
      </c>
      <c r="Z10" s="15"/>
      <c r="AA10" s="8">
        <f>'[1]eWAT - GC Results (nmol g)'!AA10/1000</f>
        <v>1.9689723899382356E-3</v>
      </c>
      <c r="AB10" s="8">
        <f>'[1]eWAT - GC Results (nmol g)'!AB10/1000</f>
        <v>7.7708318531821046E-4</v>
      </c>
      <c r="AC10" s="8">
        <f>'[1]eWAT - GC Results (nmol g)'!AC10/1000</f>
        <v>4.7574148537564247E-3</v>
      </c>
      <c r="AD10" s="8">
        <f>'[1]eWAT - GC Results (nmol g)'!AD10/1000</f>
        <v>1.1883451131707315E-2</v>
      </c>
      <c r="AE10" s="8">
        <f>'[1]eWAT - GC Results (nmol g)'!AE10/1000</f>
        <v>3.4054494348392307E-3</v>
      </c>
      <c r="AF10" s="8">
        <f>'[1]eWAT - GC Results (nmol g)'!AF10/1000</f>
        <v>1.7758752693460963E-4</v>
      </c>
      <c r="AG10" s="8">
        <f>'[1]eWAT - GC Results (nmol g)'!AG10/1000</f>
        <v>4.2525381832408268E-2</v>
      </c>
      <c r="AH10" s="8">
        <f>'[1]eWAT - GC Results (nmol g)'!AH10/1000</f>
        <v>4.3363230018261265E-3</v>
      </c>
      <c r="AI10" s="9"/>
      <c r="AJ10" s="9"/>
    </row>
    <row r="11" spans="1:36" x14ac:dyDescent="0.2">
      <c r="A11" t="s">
        <v>40</v>
      </c>
      <c r="C11" s="8">
        <f>'[1]eWAT - GC Results (nmol g)'!C11/1000</f>
        <v>5.4682287769462368E-3</v>
      </c>
      <c r="D11" s="8">
        <f>'[1]eWAT - GC Results (nmol g)'!D11/1000</f>
        <v>7.1042360528591735E-3</v>
      </c>
      <c r="E11" s="8">
        <f>'[1]eWAT - GC Results (nmol g)'!E11/1000</f>
        <v>7.0648480268797756E-3</v>
      </c>
      <c r="F11" s="8">
        <f>'[1]eWAT - GC Results (nmol g)'!F11/1000</f>
        <v>8.4350662216191689E-3</v>
      </c>
      <c r="G11" s="8">
        <f>'[1]eWAT - GC Results (nmol g)'!G11/1000</f>
        <v>9.1385140000421472E-3</v>
      </c>
      <c r="H11" s="8">
        <f>'[1]eWAT - GC Results (nmol g)'!H11/1000</f>
        <v>1.27651452896652E-2</v>
      </c>
      <c r="I11" s="8">
        <f>'[1]eWAT - GC Results (nmol g)'!I11/1000</f>
        <v>8.2901057065017224E-3</v>
      </c>
      <c r="J11" s="8">
        <f>'[1]eWAT - GC Results (nmol g)'!J11/1000</f>
        <v>4.7490123823347771E-3</v>
      </c>
      <c r="K11" s="15"/>
      <c r="L11" s="8">
        <f>'[1]eWAT - GC Results (nmol g)'!L11/1000</f>
        <v>1.5855078225955034E-2</v>
      </c>
      <c r="M11" s="8"/>
      <c r="N11" s="8">
        <f>'[1]eWAT - GC Results (nmol g)'!N11/1000</f>
        <v>1.0714974966159509E-2</v>
      </c>
      <c r="O11" s="8">
        <f>'[1]eWAT - GC Results (nmol g)'!O11/1000</f>
        <v>1.582467233896577E-2</v>
      </c>
      <c r="P11" s="8">
        <f>'[1]eWAT - GC Results (nmol g)'!P11/1000</f>
        <v>1.593501569787862E-2</v>
      </c>
      <c r="Q11" s="15"/>
      <c r="R11" s="8">
        <f>'[1]eWAT - GC Results (nmol g)'!R11/1000</f>
        <v>2.9348452556256E-2</v>
      </c>
      <c r="S11" s="8">
        <f>'[1]eWAT - GC Results (nmol g)'!S11/1000</f>
        <v>1.0503586808562875E-2</v>
      </c>
      <c r="T11" s="8">
        <f>'[1]eWAT - GC Results (nmol g)'!T11/1000</f>
        <v>1.1771506484361392E-2</v>
      </c>
      <c r="U11" s="8">
        <f>'[1]eWAT - GC Results (nmol g)'!U11/1000</f>
        <v>1.4057866091554681E-2</v>
      </c>
      <c r="V11" s="8">
        <f>'[1]eWAT - GC Results (nmol g)'!V11/1000</f>
        <v>1.2405299345704009E-2</v>
      </c>
      <c r="W11" s="8">
        <f>'[1]eWAT - GC Results (nmol g)'!W11/1000</f>
        <v>1.4868430592510803E-2</v>
      </c>
      <c r="X11" s="8"/>
      <c r="Y11" s="8">
        <f>'[1]eWAT - GC Results (nmol g)'!Y11/1000</f>
        <v>1.0674668083961095E-2</v>
      </c>
      <c r="Z11" s="15"/>
      <c r="AA11" s="8">
        <f>'[1]eWAT - GC Results (nmol g)'!AA11/1000</f>
        <v>7.0884630299061016E-3</v>
      </c>
      <c r="AB11" s="8">
        <f>'[1]eWAT - GC Results (nmol g)'!AB11/1000</f>
        <v>7.5051370623154942E-3</v>
      </c>
      <c r="AC11" s="8">
        <f>'[1]eWAT - GC Results (nmol g)'!AC11/1000</f>
        <v>7.7523828743293333E-3</v>
      </c>
      <c r="AD11" s="8">
        <f>'[1]eWAT - GC Results (nmol g)'!AD11/1000</f>
        <v>6.8554672328329513E-3</v>
      </c>
      <c r="AE11" s="8">
        <f>'[1]eWAT - GC Results (nmol g)'!AE11/1000</f>
        <v>1.3330873733081861E-2</v>
      </c>
      <c r="AF11" s="8">
        <f>'[1]eWAT - GC Results (nmol g)'!AF11/1000</f>
        <v>8.001752243811883E-3</v>
      </c>
      <c r="AG11" s="8">
        <f>'[1]eWAT - GC Results (nmol g)'!AG11/1000</f>
        <v>1.7310689969077059E-2</v>
      </c>
      <c r="AH11" s="8">
        <f>'[1]eWAT - GC Results (nmol g)'!AH11/1000</f>
        <v>1.0148694641796973E-2</v>
      </c>
      <c r="AI11" s="9"/>
      <c r="AJ11" s="9"/>
    </row>
    <row r="12" spans="1:36" x14ac:dyDescent="0.2">
      <c r="A12" t="s">
        <v>41</v>
      </c>
      <c r="C12" s="8">
        <f>'[1]eWAT - GC Results (nmol g)'!C12/1000</f>
        <v>4.9546685257776087E-3</v>
      </c>
      <c r="D12" s="8">
        <f>'[1]eWAT - GC Results (nmol g)'!D12/1000</f>
        <v>5.3710222352940816E-3</v>
      </c>
      <c r="E12" s="8">
        <f>'[1]eWAT - GC Results (nmol g)'!E12/1000</f>
        <v>5.5374672744147105E-3</v>
      </c>
      <c r="F12" s="8">
        <f>'[1]eWAT - GC Results (nmol g)'!F12/1000</f>
        <v>5.8482805849005481E-3</v>
      </c>
      <c r="G12" s="8">
        <f>'[1]eWAT - GC Results (nmol g)'!G12/1000</f>
        <v>6.4276678238609263E-3</v>
      </c>
      <c r="H12" s="8">
        <f>'[1]eWAT - GC Results (nmol g)'!H12/1000</f>
        <v>4.9812032094789975E-3</v>
      </c>
      <c r="I12" s="8">
        <f>'[1]eWAT - GC Results (nmol g)'!I12/1000</f>
        <v>6.1351304549243186E-3</v>
      </c>
      <c r="J12" s="8">
        <f>'[1]eWAT - GC Results (nmol g)'!J12/1000</f>
        <v>4.2377441223038622E-3</v>
      </c>
      <c r="K12" s="15"/>
      <c r="L12" s="8">
        <f>'[1]eWAT - GC Results (nmol g)'!L12/1000</f>
        <v>9.9935422280050239E-3</v>
      </c>
      <c r="M12" s="8"/>
      <c r="N12" s="8">
        <f>'[1]eWAT - GC Results (nmol g)'!N12/1000</f>
        <v>6.7419659837197393E-3</v>
      </c>
      <c r="O12" s="8">
        <f>'[1]eWAT - GC Results (nmol g)'!O12/1000</f>
        <v>1.1721846493226839E-2</v>
      </c>
      <c r="P12" s="8">
        <f>'[1]eWAT - GC Results (nmol g)'!P12/1000</f>
        <v>1.3523374064795897E-2</v>
      </c>
      <c r="Q12" s="15"/>
      <c r="R12" s="8">
        <f>'[1]eWAT - GC Results (nmol g)'!R12/1000</f>
        <v>2.065569184033569E-2</v>
      </c>
      <c r="S12" s="8">
        <f>'[1]eWAT - GC Results (nmol g)'!S12/1000</f>
        <v>8.1236281569767397E-3</v>
      </c>
      <c r="T12" s="8">
        <f>'[1]eWAT - GC Results (nmol g)'!T12/1000</f>
        <v>8.0951421748425255E-3</v>
      </c>
      <c r="U12" s="8">
        <f>'[1]eWAT - GC Results (nmol g)'!U12/1000</f>
        <v>1.3349610916436314E-2</v>
      </c>
      <c r="V12" s="8">
        <f>'[1]eWAT - GC Results (nmol g)'!V12/1000</f>
        <v>1.0759650211447648E-2</v>
      </c>
      <c r="W12" s="8">
        <f>'[1]eWAT - GC Results (nmol g)'!W12/1000</f>
        <v>8.5086798860518863E-3</v>
      </c>
      <c r="X12" s="8"/>
      <c r="Y12" s="8">
        <f>'[1]eWAT - GC Results (nmol g)'!Y12/1000</f>
        <v>5.4751470860252031E-3</v>
      </c>
      <c r="Z12" s="15"/>
      <c r="AA12" s="8">
        <f>'[1]eWAT - GC Results (nmol g)'!AA12/1000</f>
        <v>3.5813683407029629E-3</v>
      </c>
      <c r="AB12" s="8">
        <f>'[1]eWAT - GC Results (nmol g)'!AB12/1000</f>
        <v>2.7130183618825281E-3</v>
      </c>
      <c r="AC12" s="8">
        <f>'[1]eWAT - GC Results (nmol g)'!AC12/1000</f>
        <v>3.8989417770107643E-3</v>
      </c>
      <c r="AD12" s="8">
        <f>'[1]eWAT - GC Results (nmol g)'!AD12/1000</f>
        <v>3.7520965686632336E-3</v>
      </c>
      <c r="AE12" s="8">
        <f>'[1]eWAT - GC Results (nmol g)'!AE12/1000</f>
        <v>5.3927872459979924E-3</v>
      </c>
      <c r="AF12" s="8">
        <f>'[1]eWAT - GC Results (nmol g)'!AF12/1000</f>
        <v>3.4517355522183254E-3</v>
      </c>
      <c r="AG12" s="8">
        <f>'[1]eWAT - GC Results (nmol g)'!AG12/1000</f>
        <v>1.4477881656831284E-2</v>
      </c>
      <c r="AH12" s="8">
        <f>'[1]eWAT - GC Results (nmol g)'!AH12/1000</f>
        <v>5.51214367506848E-3</v>
      </c>
      <c r="AI12" s="9"/>
      <c r="AJ12" s="9"/>
    </row>
    <row r="13" spans="1:36" x14ac:dyDescent="0.2">
      <c r="A13" t="s">
        <v>42</v>
      </c>
      <c r="C13" s="8">
        <f>'[1]eWAT - GC Results (nmol g)'!C13/1000</f>
        <v>1.1918767194071164E-2</v>
      </c>
      <c r="D13" s="8">
        <f>'[1]eWAT - GC Results (nmol g)'!D13/1000</f>
        <v>1.3507731504057607E-2</v>
      </c>
      <c r="E13" s="8">
        <f>'[1]eWAT - GC Results (nmol g)'!E13/1000</f>
        <v>1.2024408169880839E-2</v>
      </c>
      <c r="F13" s="8">
        <f>'[1]eWAT - GC Results (nmol g)'!F13/1000</f>
        <v>1.559381762441763E-2</v>
      </c>
      <c r="G13" s="8">
        <f>'[1]eWAT - GC Results (nmol g)'!G13/1000</f>
        <v>1.3773280539394524E-2</v>
      </c>
      <c r="H13" s="8">
        <f>'[1]eWAT - GC Results (nmol g)'!H13/1000</f>
        <v>1.4524186192631584E-2</v>
      </c>
      <c r="I13" s="8">
        <f>'[1]eWAT - GC Results (nmol g)'!I13/1000</f>
        <v>1.4384704670555354E-2</v>
      </c>
      <c r="J13" s="8">
        <f>'[1]eWAT - GC Results (nmol g)'!J13/1000</f>
        <v>7.457348438295654E-3</v>
      </c>
      <c r="K13" s="15"/>
      <c r="L13" s="8">
        <f>'[1]eWAT - GC Results (nmol g)'!L13/1000</f>
        <v>2.2097236033200376E-2</v>
      </c>
      <c r="M13" s="8"/>
      <c r="N13" s="8">
        <f>'[1]eWAT - GC Results (nmol g)'!N13/1000</f>
        <v>1.2675186098445861E-2</v>
      </c>
      <c r="O13" s="8">
        <f>'[1]eWAT - GC Results (nmol g)'!O13/1000</f>
        <v>2.0519932051882288E-2</v>
      </c>
      <c r="P13" s="8">
        <f>'[1]eWAT - GC Results (nmol g)'!P13/1000</f>
        <v>2.3312361501290083E-2</v>
      </c>
      <c r="Q13" s="15"/>
      <c r="R13" s="8">
        <f>'[1]eWAT - GC Results (nmol g)'!R13/1000</f>
        <v>2.6727220412950316E-2</v>
      </c>
      <c r="S13" s="8">
        <f>'[1]eWAT - GC Results (nmol g)'!S13/1000</f>
        <v>1.1038753475715602E-2</v>
      </c>
      <c r="T13" s="8">
        <f>'[1]eWAT - GC Results (nmol g)'!T13/1000</f>
        <v>1.8160268227882654E-2</v>
      </c>
      <c r="U13" s="8">
        <f>'[1]eWAT - GC Results (nmol g)'!U13/1000</f>
        <v>1.2972926500803436E-2</v>
      </c>
      <c r="V13" s="8">
        <f>'[1]eWAT - GC Results (nmol g)'!V13/1000</f>
        <v>1.3906345745794215E-2</v>
      </c>
      <c r="W13" s="8">
        <f>'[1]eWAT - GC Results (nmol g)'!W13/1000</f>
        <v>2.3843152562726899E-2</v>
      </c>
      <c r="X13" s="8"/>
      <c r="Y13" s="8">
        <f>'[1]eWAT - GC Results (nmol g)'!Y13/1000</f>
        <v>1.6000581706983919E-2</v>
      </c>
      <c r="Z13" s="15"/>
      <c r="AA13" s="8">
        <f>'[1]eWAT - GC Results (nmol g)'!AA13/1000</f>
        <v>1.1945335370888174E-2</v>
      </c>
      <c r="AB13" s="8">
        <f>'[1]eWAT - GC Results (nmol g)'!AB13/1000</f>
        <v>1.0898896647359626E-2</v>
      </c>
      <c r="AC13" s="8">
        <f>'[1]eWAT - GC Results (nmol g)'!AC13/1000</f>
        <v>1.2799470791677861E-2</v>
      </c>
      <c r="AD13" s="8">
        <f>'[1]eWAT - GC Results (nmol g)'!AD13/1000</f>
        <v>1.1268760046948436E-2</v>
      </c>
      <c r="AE13" s="8">
        <f>'[1]eWAT - GC Results (nmol g)'!AE13/1000</f>
        <v>1.5141058690487262E-2</v>
      </c>
      <c r="AF13" s="8">
        <f>'[1]eWAT - GC Results (nmol g)'!AF13/1000</f>
        <v>1.3096403130071328E-2</v>
      </c>
      <c r="AG13" s="8">
        <f>'[1]eWAT - GC Results (nmol g)'!AG13/1000</f>
        <v>1.7464859692210385E-2</v>
      </c>
      <c r="AH13" s="8">
        <f>'[1]eWAT - GC Results (nmol g)'!AH13/1000</f>
        <v>1.1466624805906061E-2</v>
      </c>
      <c r="AI13" s="9"/>
      <c r="AJ13" s="9"/>
    </row>
    <row r="14" spans="1:36" x14ac:dyDescent="0.2">
      <c r="A14" t="s">
        <v>43</v>
      </c>
      <c r="C14" s="8">
        <f>'[1]eWAT - GC Results (nmol g)'!C14/1000</f>
        <v>6.3534765003218962E-3</v>
      </c>
      <c r="D14" s="8">
        <f>'[1]eWAT - GC Results (nmol g)'!D14/1000</f>
        <v>6.2116350455217297E-3</v>
      </c>
      <c r="E14" s="8">
        <f>'[1]eWAT - GC Results (nmol g)'!E14/1000</f>
        <v>5.8555987113403278E-3</v>
      </c>
      <c r="F14" s="8">
        <f>'[1]eWAT - GC Results (nmol g)'!F14/1000</f>
        <v>1.0974650244291808E-2</v>
      </c>
      <c r="G14" s="8">
        <f>'[1]eWAT - GC Results (nmol g)'!G14/1000</f>
        <v>8.4032733249735075E-3</v>
      </c>
      <c r="H14" s="8">
        <f>'[1]eWAT - GC Results (nmol g)'!H14/1000</f>
        <v>2.1467754847708201E-2</v>
      </c>
      <c r="I14" s="8">
        <f>'[1]eWAT - GC Results (nmol g)'!I14/1000</f>
        <v>5.4059169030645634E-3</v>
      </c>
      <c r="J14" s="8">
        <f>'[1]eWAT - GC Results (nmol g)'!J14/1000</f>
        <v>3.3280974356323115E-2</v>
      </c>
      <c r="K14" s="15"/>
      <c r="L14" s="8">
        <f>'[1]eWAT - GC Results (nmol g)'!L14/1000</f>
        <v>2.5907946215411939E-2</v>
      </c>
      <c r="M14" s="8"/>
      <c r="N14" s="8">
        <f>'[1]eWAT - GC Results (nmol g)'!N14/1000</f>
        <v>1.2819332799547679E-2</v>
      </c>
      <c r="O14" s="8">
        <f>'[1]eWAT - GC Results (nmol g)'!O14/1000</f>
        <v>1.7285261102639459E-2</v>
      </c>
      <c r="P14" s="8">
        <f>'[1]eWAT - GC Results (nmol g)'!P14/1000</f>
        <v>1.7710186624656232E-2</v>
      </c>
      <c r="Q14" s="15"/>
      <c r="R14" s="8">
        <f>'[1]eWAT - GC Results (nmol g)'!R14/1000</f>
        <v>2.9316899728996572E-2</v>
      </c>
      <c r="S14" s="8">
        <f>'[1]eWAT - GC Results (nmol g)'!S14/1000</f>
        <v>1.4943992549885043E-2</v>
      </c>
      <c r="T14" s="8">
        <f>'[1]eWAT - GC Results (nmol g)'!T14/1000</f>
        <v>8.8138708264447023E-3</v>
      </c>
      <c r="U14" s="8">
        <f>'[1]eWAT - GC Results (nmol g)'!U14/1000</f>
        <v>1.5800367556362872E-2</v>
      </c>
      <c r="V14" s="8">
        <f>'[1]eWAT - GC Results (nmol g)'!V14/1000</f>
        <v>1.3931418472788866E-2</v>
      </c>
      <c r="W14" s="8">
        <f>'[1]eWAT - GC Results (nmol g)'!W14/1000</f>
        <v>1.5812391094735513E-2</v>
      </c>
      <c r="X14" s="8"/>
      <c r="Y14" s="8">
        <f>'[1]eWAT - GC Results (nmol g)'!Y14/1000</f>
        <v>6.9642824026531812E-3</v>
      </c>
      <c r="Z14" s="15"/>
      <c r="AA14" s="8">
        <f>'[1]eWAT - GC Results (nmol g)'!AA14/1000</f>
        <v>7.055065380019967E-3</v>
      </c>
      <c r="AB14" s="8">
        <f>'[1]eWAT - GC Results (nmol g)'!AB14/1000</f>
        <v>6.1621961786431003E-3</v>
      </c>
      <c r="AC14" s="8">
        <f>'[1]eWAT - GC Results (nmol g)'!AC14/1000</f>
        <v>7.7216562248710145E-3</v>
      </c>
      <c r="AD14" s="8">
        <f>'[1]eWAT - GC Results (nmol g)'!AD14/1000</f>
        <v>8.0095074029552082E-3</v>
      </c>
      <c r="AE14" s="8">
        <f>'[1]eWAT - GC Results (nmol g)'!AE14/1000</f>
        <v>9.4812157214847065E-3</v>
      </c>
      <c r="AF14" s="8">
        <f>'[1]eWAT - GC Results (nmol g)'!AF14/1000</f>
        <v>5.7155483491956975E-3</v>
      </c>
      <c r="AG14" s="8">
        <f>'[1]eWAT - GC Results (nmol g)'!AG14/1000</f>
        <v>1.7264069187636399E-2</v>
      </c>
      <c r="AH14" s="8">
        <f>'[1]eWAT - GC Results (nmol g)'!AH14/1000</f>
        <v>7.4342620532938742E-3</v>
      </c>
      <c r="AI14" s="9"/>
      <c r="AJ14" s="9"/>
    </row>
    <row r="15" spans="1:36" x14ac:dyDescent="0.2">
      <c r="A15" t="s">
        <v>44</v>
      </c>
      <c r="C15" s="8">
        <f>'[1]eWAT - GC Results (nmol g)'!C15/1000</f>
        <v>1.3851702321242859E-2</v>
      </c>
      <c r="D15" s="8">
        <f>'[1]eWAT - GC Results (nmol g)'!D15/1000</f>
        <v>1.1734094279524503E-2</v>
      </c>
      <c r="E15" s="8">
        <f>'[1]eWAT - GC Results (nmol g)'!E15/1000</f>
        <v>1.2388517271357858E-2</v>
      </c>
      <c r="F15" s="8">
        <f>'[1]eWAT - GC Results (nmol g)'!F15/1000</f>
        <v>1.7351873281873181E-2</v>
      </c>
      <c r="G15" s="8">
        <f>'[1]eWAT - GC Results (nmol g)'!G15/1000</f>
        <v>1.3976918851697627E-2</v>
      </c>
      <c r="H15" s="8">
        <f>'[1]eWAT - GC Results (nmol g)'!H15/1000</f>
        <v>1.3567330400825875E-2</v>
      </c>
      <c r="I15" s="8">
        <f>'[1]eWAT - GC Results (nmol g)'!I15/1000</f>
        <v>1.1182472816893631E-2</v>
      </c>
      <c r="J15" s="8">
        <f>'[1]eWAT - GC Results (nmol g)'!J15/1000</f>
        <v>7.9704197692798406E-3</v>
      </c>
      <c r="K15" s="15"/>
      <c r="L15" s="8">
        <f>'[1]eWAT - GC Results (nmol g)'!L15/1000</f>
        <v>3.3383463208374806E-2</v>
      </c>
      <c r="M15" s="8"/>
      <c r="N15" s="8">
        <f>'[1]eWAT - GC Results (nmol g)'!N15/1000</f>
        <v>1.4243995998512915E-2</v>
      </c>
      <c r="O15" s="8">
        <f>'[1]eWAT - GC Results (nmol g)'!O15/1000</f>
        <v>2.3194773372223851E-2</v>
      </c>
      <c r="P15" s="8">
        <f>'[1]eWAT - GC Results (nmol g)'!P15/1000</f>
        <v>2.4421730743067128E-2</v>
      </c>
      <c r="Q15" s="15"/>
      <c r="R15" s="8">
        <f>'[1]eWAT - GC Results (nmol g)'!R15/1000</f>
        <v>4.1113436606796186E-2</v>
      </c>
      <c r="S15" s="8">
        <f>'[1]eWAT - GC Results (nmol g)'!S15/1000</f>
        <v>1.9378924950458381E-2</v>
      </c>
      <c r="T15" s="8">
        <f>'[1]eWAT - GC Results (nmol g)'!T15/1000</f>
        <v>2.2406201511742309E-2</v>
      </c>
      <c r="U15" s="8">
        <f>'[1]eWAT - GC Results (nmol g)'!U15/1000</f>
        <v>2.6167594000744837E-2</v>
      </c>
      <c r="V15" s="8">
        <f>'[1]eWAT - GC Results (nmol g)'!V15/1000</f>
        <v>1.8760387682566913E-2</v>
      </c>
      <c r="W15" s="8">
        <f>'[1]eWAT - GC Results (nmol g)'!W15/1000</f>
        <v>2.4635663481547578E-2</v>
      </c>
      <c r="X15" s="8"/>
      <c r="Y15" s="8">
        <f>'[1]eWAT - GC Results (nmol g)'!Y15/1000</f>
        <v>1.9569862746966628E-2</v>
      </c>
      <c r="Z15" s="15"/>
      <c r="AA15" s="8">
        <f>'[1]eWAT - GC Results (nmol g)'!AA15/1000</f>
        <v>1.5705570966288482E-2</v>
      </c>
      <c r="AB15" s="8">
        <f>'[1]eWAT - GC Results (nmol g)'!AB15/1000</f>
        <v>1.1794446027792021E-2</v>
      </c>
      <c r="AC15" s="8">
        <f>'[1]eWAT - GC Results (nmol g)'!AC15/1000</f>
        <v>1.2983085039823865E-2</v>
      </c>
      <c r="AD15" s="8">
        <f>'[1]eWAT - GC Results (nmol g)'!AD15/1000</f>
        <v>1.1070747381409013E-2</v>
      </c>
      <c r="AE15" s="8">
        <f>'[1]eWAT - GC Results (nmol g)'!AE15/1000</f>
        <v>2.0025333582870224E-2</v>
      </c>
      <c r="AF15" s="8">
        <f>'[1]eWAT - GC Results (nmol g)'!AF15/1000</f>
        <v>1.2893039397426821E-2</v>
      </c>
      <c r="AG15" s="8">
        <f>'[1]eWAT - GC Results (nmol g)'!AG15/1000</f>
        <v>2.3926893620877632E-2</v>
      </c>
      <c r="AH15" s="8">
        <f>'[1]eWAT - GC Results (nmol g)'!AH15/1000</f>
        <v>1.9064023132375006E-2</v>
      </c>
      <c r="AI15" s="9"/>
      <c r="AJ15" s="9"/>
    </row>
    <row r="16" spans="1:36" x14ac:dyDescent="0.2">
      <c r="A16" t="s">
        <v>45</v>
      </c>
      <c r="C16" s="8">
        <f>'[1]eWAT - GC Results (nmol g)'!C16/1000</f>
        <v>0</v>
      </c>
      <c r="D16" s="8">
        <f>'[1]eWAT - GC Results (nmol g)'!D16/1000</f>
        <v>0</v>
      </c>
      <c r="E16" s="8">
        <f>'[1]eWAT - GC Results (nmol g)'!E16/1000</f>
        <v>0</v>
      </c>
      <c r="F16" s="8">
        <f>'[1]eWAT - GC Results (nmol g)'!F16/1000</f>
        <v>0</v>
      </c>
      <c r="G16" s="8">
        <f>'[1]eWAT - GC Results (nmol g)'!G16/1000</f>
        <v>0</v>
      </c>
      <c r="H16" s="8">
        <f>'[1]eWAT - GC Results (nmol g)'!H16/1000</f>
        <v>0</v>
      </c>
      <c r="I16" s="8">
        <f>'[1]eWAT - GC Results (nmol g)'!I16/1000</f>
        <v>0</v>
      </c>
      <c r="J16" s="8">
        <f>'[1]eWAT - GC Results (nmol g)'!J16/1000</f>
        <v>0</v>
      </c>
      <c r="K16" s="15"/>
      <c r="L16" s="8">
        <f>'[1]eWAT - GC Results (nmol g)'!L16/1000</f>
        <v>0</v>
      </c>
      <c r="M16" s="8"/>
      <c r="N16" s="8">
        <f>'[1]eWAT - GC Results (nmol g)'!N16/1000</f>
        <v>0</v>
      </c>
      <c r="O16" s="8">
        <f>'[1]eWAT - GC Results (nmol g)'!O16/1000</f>
        <v>0</v>
      </c>
      <c r="P16" s="8">
        <f>'[1]eWAT - GC Results (nmol g)'!P16/1000</f>
        <v>0</v>
      </c>
      <c r="Q16" s="15"/>
      <c r="R16" s="8">
        <f>'[1]eWAT - GC Results (nmol g)'!R16/1000</f>
        <v>0</v>
      </c>
      <c r="S16" s="8">
        <f>'[1]eWAT - GC Results (nmol g)'!S16/1000</f>
        <v>0</v>
      </c>
      <c r="T16" s="8">
        <f>'[1]eWAT - GC Results (nmol g)'!T16/1000</f>
        <v>0</v>
      </c>
      <c r="U16" s="8">
        <f>'[1]eWAT - GC Results (nmol g)'!U16/1000</f>
        <v>0</v>
      </c>
      <c r="V16" s="8">
        <f>'[1]eWAT - GC Results (nmol g)'!V16/1000</f>
        <v>0</v>
      </c>
      <c r="W16" s="8">
        <f>'[1]eWAT - GC Results (nmol g)'!W16/1000</f>
        <v>0</v>
      </c>
      <c r="X16" s="8"/>
      <c r="Y16" s="8">
        <f>'[1]eWAT - GC Results (nmol g)'!Y16/1000</f>
        <v>0</v>
      </c>
      <c r="Z16" s="15"/>
      <c r="AA16" s="8">
        <f>'[1]eWAT - GC Results (nmol g)'!AA16/1000</f>
        <v>0</v>
      </c>
      <c r="AB16" s="8">
        <f>'[1]eWAT - GC Results (nmol g)'!AB16/1000</f>
        <v>0</v>
      </c>
      <c r="AC16" s="8">
        <f>'[1]eWAT - GC Results (nmol g)'!AC16/1000</f>
        <v>0</v>
      </c>
      <c r="AD16" s="8">
        <f>'[1]eWAT - GC Results (nmol g)'!AD16/1000</f>
        <v>0</v>
      </c>
      <c r="AE16" s="8">
        <f>'[1]eWAT - GC Results (nmol g)'!AE16/1000</f>
        <v>0</v>
      </c>
      <c r="AF16" s="8">
        <f>'[1]eWAT - GC Results (nmol g)'!AF16/1000</f>
        <v>0</v>
      </c>
      <c r="AG16" s="8">
        <f>'[1]eWAT - GC Results (nmol g)'!AG16/1000</f>
        <v>0</v>
      </c>
      <c r="AH16" s="8">
        <f>'[1]eWAT - GC Results (nmol g)'!AH16/1000</f>
        <v>0</v>
      </c>
      <c r="AI16" s="9"/>
      <c r="AJ16" s="9"/>
    </row>
    <row r="17" spans="1:36" x14ac:dyDescent="0.2">
      <c r="A17" t="s">
        <v>46</v>
      </c>
      <c r="C17" s="8">
        <f>'[1]eWAT - GC Results (nmol g)'!C17/1000</f>
        <v>2.0524811737640737E-2</v>
      </c>
      <c r="D17" s="8">
        <f>'[1]eWAT - GC Results (nmol g)'!D17/1000</f>
        <v>2.3029903128970339E-2</v>
      </c>
      <c r="E17" s="8">
        <f>'[1]eWAT - GC Results (nmol g)'!E17/1000</f>
        <v>2.0486242514466773E-2</v>
      </c>
      <c r="F17" s="8">
        <f>'[1]eWAT - GC Results (nmol g)'!F17/1000</f>
        <v>2.7798457061562139E-2</v>
      </c>
      <c r="G17" s="8">
        <f>'[1]eWAT - GC Results (nmol g)'!G17/1000</f>
        <v>2.5197863456102663E-2</v>
      </c>
      <c r="H17" s="8">
        <f>'[1]eWAT - GC Results (nmol g)'!H17/1000</f>
        <v>2.4996276946712855E-2</v>
      </c>
      <c r="I17" s="8">
        <f>'[1]eWAT - GC Results (nmol g)'!I17/1000</f>
        <v>1.3143629386567339E-2</v>
      </c>
      <c r="J17" s="8">
        <f>'[1]eWAT - GC Results (nmol g)'!J17/1000</f>
        <v>1.2426945932761153E-2</v>
      </c>
      <c r="K17" s="15"/>
      <c r="L17" s="8">
        <f>'[1]eWAT - GC Results (nmol g)'!L17/1000</f>
        <v>3.8142048013572009E-2</v>
      </c>
      <c r="M17" s="8"/>
      <c r="N17" s="8">
        <f>'[1]eWAT - GC Results (nmol g)'!N17/1000</f>
        <v>2.1677813431571397E-2</v>
      </c>
      <c r="O17" s="8">
        <f>'[1]eWAT - GC Results (nmol g)'!O17/1000</f>
        <v>2.805512954047849E-2</v>
      </c>
      <c r="P17" s="8">
        <f>'[1]eWAT - GC Results (nmol g)'!P17/1000</f>
        <v>3.4805703151890452E-2</v>
      </c>
      <c r="Q17" s="15"/>
      <c r="R17" s="8">
        <f>'[1]eWAT - GC Results (nmol g)'!R17/1000</f>
        <v>3.4736991190706182E-2</v>
      </c>
      <c r="S17" s="8">
        <f>'[1]eWAT - GC Results (nmol g)'!S17/1000</f>
        <v>2.6677154405651028E-2</v>
      </c>
      <c r="T17" s="8">
        <f>'[1]eWAT - GC Results (nmol g)'!T17/1000</f>
        <v>2.7196989206909418E-2</v>
      </c>
      <c r="U17" s="8">
        <f>'[1]eWAT - GC Results (nmol g)'!U17/1000</f>
        <v>2.8036236909940608E-2</v>
      </c>
      <c r="V17" s="8">
        <f>'[1]eWAT - GC Results (nmol g)'!V17/1000</f>
        <v>2.3036938430932522E-2</v>
      </c>
      <c r="W17" s="8">
        <f>'[1]eWAT - GC Results (nmol g)'!W17/1000</f>
        <v>3.2010841759444908E-2</v>
      </c>
      <c r="X17" s="8"/>
      <c r="Y17" s="8">
        <f>'[1]eWAT - GC Results (nmol g)'!Y17/1000</f>
        <v>2.1500499964936696E-2</v>
      </c>
      <c r="Z17" s="15"/>
      <c r="AA17" s="8">
        <f>'[1]eWAT - GC Results (nmol g)'!AA17/1000</f>
        <v>2.0709775748487844E-2</v>
      </c>
      <c r="AB17" s="8">
        <f>'[1]eWAT - GC Results (nmol g)'!AB17/1000</f>
        <v>1.9949238172079404E-2</v>
      </c>
      <c r="AC17" s="8">
        <f>'[1]eWAT - GC Results (nmol g)'!AC17/1000</f>
        <v>2.334694197244112E-2</v>
      </c>
      <c r="AD17" s="8">
        <f>'[1]eWAT - GC Results (nmol g)'!AD17/1000</f>
        <v>1.9168579892091628E-2</v>
      </c>
      <c r="AE17" s="8">
        <f>'[1]eWAT - GC Results (nmol g)'!AE17/1000</f>
        <v>3.0984157299882409E-2</v>
      </c>
      <c r="AF17" s="8">
        <f>'[1]eWAT - GC Results (nmol g)'!AF17/1000</f>
        <v>2.220387506017072E-2</v>
      </c>
      <c r="AG17" s="8">
        <f>'[1]eWAT - GC Results (nmol g)'!AG17/1000</f>
        <v>2.782575959727256E-2</v>
      </c>
      <c r="AH17" s="8">
        <f>'[1]eWAT - GC Results (nmol g)'!AH17/1000</f>
        <v>1.7531493507233254E-2</v>
      </c>
      <c r="AI17" s="9"/>
      <c r="AJ17" s="9"/>
    </row>
    <row r="18" spans="1:36" x14ac:dyDescent="0.2">
      <c r="A18" t="s">
        <v>47</v>
      </c>
      <c r="C18" s="8">
        <f>'[1]eWAT - GC Results (nmol g)'!C18/1000</f>
        <v>0</v>
      </c>
      <c r="D18" s="8">
        <f>'[1]eWAT - GC Results (nmol g)'!D18/1000</f>
        <v>0</v>
      </c>
      <c r="E18" s="8">
        <f>'[1]eWAT - GC Results (nmol g)'!E18/1000</f>
        <v>0</v>
      </c>
      <c r="F18" s="8">
        <f>'[1]eWAT - GC Results (nmol g)'!F18/1000</f>
        <v>0</v>
      </c>
      <c r="G18" s="8">
        <f>'[1]eWAT - GC Results (nmol g)'!G18/1000</f>
        <v>0</v>
      </c>
      <c r="H18" s="8">
        <f>'[1]eWAT - GC Results (nmol g)'!H18/1000</f>
        <v>0</v>
      </c>
      <c r="I18" s="8">
        <f>'[1]eWAT - GC Results (nmol g)'!I18/1000</f>
        <v>0</v>
      </c>
      <c r="J18" s="8">
        <f>'[1]eWAT - GC Results (nmol g)'!J18/1000</f>
        <v>0</v>
      </c>
      <c r="K18" s="15"/>
      <c r="L18" s="8">
        <f>'[1]eWAT - GC Results (nmol g)'!L18/1000</f>
        <v>0</v>
      </c>
      <c r="M18" s="8"/>
      <c r="N18" s="8">
        <f>'[1]eWAT - GC Results (nmol g)'!N18/1000</f>
        <v>0</v>
      </c>
      <c r="O18" s="8">
        <f>'[1]eWAT - GC Results (nmol g)'!O18/1000</f>
        <v>0</v>
      </c>
      <c r="P18" s="8">
        <f>'[1]eWAT - GC Results (nmol g)'!P18/1000</f>
        <v>0</v>
      </c>
      <c r="Q18" s="15"/>
      <c r="R18" s="8">
        <f>'[1]eWAT - GC Results (nmol g)'!R18/1000</f>
        <v>0</v>
      </c>
      <c r="S18" s="8">
        <f>'[1]eWAT - GC Results (nmol g)'!S18/1000</f>
        <v>0</v>
      </c>
      <c r="T18" s="8">
        <f>'[1]eWAT - GC Results (nmol g)'!T18/1000</f>
        <v>0</v>
      </c>
      <c r="U18" s="8">
        <f>'[1]eWAT - GC Results (nmol g)'!U18/1000</f>
        <v>0</v>
      </c>
      <c r="V18" s="8">
        <f>'[1]eWAT - GC Results (nmol g)'!V18/1000</f>
        <v>0</v>
      </c>
      <c r="W18" s="8">
        <f>'[1]eWAT - GC Results (nmol g)'!W18/1000</f>
        <v>0</v>
      </c>
      <c r="X18" s="8"/>
      <c r="Y18" s="8">
        <f>'[1]eWAT - GC Results (nmol g)'!Y18/1000</f>
        <v>0</v>
      </c>
      <c r="Z18" s="15"/>
      <c r="AA18" s="8">
        <f>'[1]eWAT - GC Results (nmol g)'!AA18/1000</f>
        <v>0</v>
      </c>
      <c r="AB18" s="8">
        <f>'[1]eWAT - GC Results (nmol g)'!AB18/1000</f>
        <v>0</v>
      </c>
      <c r="AC18" s="8">
        <f>'[1]eWAT - GC Results (nmol g)'!AC18/1000</f>
        <v>0</v>
      </c>
      <c r="AD18" s="8">
        <f>'[1]eWAT - GC Results (nmol g)'!AD18/1000</f>
        <v>0</v>
      </c>
      <c r="AE18" s="8">
        <f>'[1]eWAT - GC Results (nmol g)'!AE18/1000</f>
        <v>0</v>
      </c>
      <c r="AF18" s="8">
        <f>'[1]eWAT - GC Results (nmol g)'!AF18/1000</f>
        <v>0</v>
      </c>
      <c r="AG18" s="8">
        <f>'[1]eWAT - GC Results (nmol g)'!AG18/1000</f>
        <v>0</v>
      </c>
      <c r="AH18" s="8">
        <f>'[1]eWAT - GC Results (nmol g)'!AH18/1000</f>
        <v>0</v>
      </c>
      <c r="AI18" s="9"/>
      <c r="AJ18" s="9"/>
    </row>
    <row r="19" spans="1:36" x14ac:dyDescent="0.2">
      <c r="A19" s="3"/>
      <c r="B19" s="3"/>
      <c r="C19" s="8"/>
      <c r="D19" s="8"/>
      <c r="E19" s="8"/>
      <c r="F19" s="8"/>
      <c r="G19" s="8"/>
      <c r="H19" s="8"/>
      <c r="I19" s="8"/>
      <c r="J19" s="8"/>
      <c r="K19" s="15"/>
      <c r="L19" s="8"/>
      <c r="M19" s="8"/>
      <c r="N19" s="8"/>
      <c r="O19" s="8"/>
      <c r="P19" s="8"/>
      <c r="Q19" s="15"/>
      <c r="R19" s="8"/>
      <c r="S19" s="8"/>
      <c r="T19" s="8"/>
      <c r="U19" s="8"/>
      <c r="V19" s="8"/>
      <c r="W19" s="8"/>
      <c r="X19" s="8"/>
      <c r="Y19" s="8"/>
      <c r="Z19" s="15"/>
      <c r="AA19" s="8"/>
      <c r="AB19" s="8"/>
      <c r="AC19" s="8"/>
      <c r="AD19" s="8"/>
      <c r="AE19" s="8"/>
      <c r="AF19" s="8"/>
      <c r="AG19" s="8"/>
      <c r="AH19" s="8"/>
    </row>
    <row r="20" spans="1:36" x14ac:dyDescent="0.2">
      <c r="A20" s="10" t="s">
        <v>48</v>
      </c>
      <c r="B20" s="3"/>
      <c r="C20" s="11">
        <f>SUM(C4:C18)</f>
        <v>0.26552586833995145</v>
      </c>
      <c r="D20" s="11">
        <f t="shared" ref="D20:AH20" si="0">SUM(D4:D18)</f>
        <v>0.58288772703353142</v>
      </c>
      <c r="E20" s="11">
        <f t="shared" si="0"/>
        <v>0.45336931123214141</v>
      </c>
      <c r="F20" s="11">
        <f t="shared" si="0"/>
        <v>0.34866662368876145</v>
      </c>
      <c r="G20" s="11">
        <f t="shared" si="0"/>
        <v>0.33672743270623906</v>
      </c>
      <c r="H20" s="11">
        <f t="shared" si="0"/>
        <v>0.39044098828155854</v>
      </c>
      <c r="I20" s="11">
        <f t="shared" si="0"/>
        <v>0.30375266555463187</v>
      </c>
      <c r="J20" s="11">
        <f t="shared" si="0"/>
        <v>0.51395813898590825</v>
      </c>
      <c r="K20" s="16"/>
      <c r="L20" s="11">
        <f t="shared" si="0"/>
        <v>0.54684176336190682</v>
      </c>
      <c r="M20" s="11"/>
      <c r="N20" s="11">
        <f t="shared" si="0"/>
        <v>0.30337291294248464</v>
      </c>
      <c r="O20" s="11">
        <f t="shared" si="0"/>
        <v>0.37583829769830607</v>
      </c>
      <c r="P20" s="11">
        <f t="shared" si="0"/>
        <v>0.57758046133070817</v>
      </c>
      <c r="Q20" s="16"/>
      <c r="R20" s="11">
        <f t="shared" si="0"/>
        <v>0.57905918545050195</v>
      </c>
      <c r="S20" s="11">
        <f t="shared" si="0"/>
        <v>0.45588850652101948</v>
      </c>
      <c r="T20" s="11">
        <f t="shared" si="0"/>
        <v>0.47042096748611723</v>
      </c>
      <c r="U20" s="11">
        <f t="shared" si="0"/>
        <v>0.38151905788600038</v>
      </c>
      <c r="V20" s="11">
        <f t="shared" si="0"/>
        <v>0.87023075016772078</v>
      </c>
      <c r="W20" s="11">
        <f t="shared" si="0"/>
        <v>0.41876549700913879</v>
      </c>
      <c r="X20" s="11"/>
      <c r="Y20" s="11">
        <f t="shared" si="0"/>
        <v>0.27319453036712055</v>
      </c>
      <c r="Z20" s="16"/>
      <c r="AA20" s="11">
        <f t="shared" si="0"/>
        <v>0.29312640929824169</v>
      </c>
      <c r="AB20" s="11">
        <f t="shared" si="0"/>
        <v>0.2298531193881154</v>
      </c>
      <c r="AC20" s="11">
        <f t="shared" si="0"/>
        <v>0.27592650340164737</v>
      </c>
      <c r="AD20" s="11">
        <f t="shared" si="0"/>
        <v>0.42370870267363603</v>
      </c>
      <c r="AE20" s="11">
        <f t="shared" si="0"/>
        <v>0.32262333392479886</v>
      </c>
      <c r="AF20" s="11">
        <f t="shared" si="0"/>
        <v>0.2592512679703769</v>
      </c>
      <c r="AG20" s="11">
        <f t="shared" si="0"/>
        <v>1.0029492765656289</v>
      </c>
      <c r="AH20" s="11">
        <f t="shared" si="0"/>
        <v>0.24590952121589491</v>
      </c>
      <c r="AI20" s="11"/>
      <c r="AJ20" s="11"/>
    </row>
    <row r="21" spans="1:36" x14ac:dyDescent="0.2">
      <c r="A21" s="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4" spans="1:36" ht="16" x14ac:dyDescent="0.2">
      <c r="A24" s="2" t="s">
        <v>49</v>
      </c>
      <c r="B24" s="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x14ac:dyDescent="0.2">
      <c r="A25" s="4" t="s">
        <v>2</v>
      </c>
      <c r="C25" s="5" t="s">
        <v>3</v>
      </c>
      <c r="D25" s="14"/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/>
      <c r="N25" s="5" t="s">
        <v>13</v>
      </c>
      <c r="O25" s="5" t="s">
        <v>14</v>
      </c>
      <c r="P25" s="5" t="s">
        <v>15</v>
      </c>
      <c r="Q25" s="5" t="s">
        <v>16</v>
      </c>
      <c r="R25" s="5" t="s">
        <v>17</v>
      </c>
      <c r="S25" s="5" t="s">
        <v>18</v>
      </c>
      <c r="T25" s="5" t="s">
        <v>19</v>
      </c>
      <c r="U25" s="5" t="s">
        <v>20</v>
      </c>
      <c r="V25" s="5" t="s">
        <v>21</v>
      </c>
      <c r="W25" s="5" t="s">
        <v>22</v>
      </c>
      <c r="X25" s="5"/>
      <c r="Y25" s="5" t="s">
        <v>23</v>
      </c>
      <c r="Z25" s="5" t="s">
        <v>24</v>
      </c>
      <c r="AA25" s="5" t="s">
        <v>25</v>
      </c>
      <c r="AB25" s="5" t="s">
        <v>26</v>
      </c>
      <c r="AC25" s="14"/>
      <c r="AD25" s="5" t="s">
        <v>28</v>
      </c>
      <c r="AE25" s="5" t="s">
        <v>29</v>
      </c>
      <c r="AF25" s="5" t="s">
        <v>30</v>
      </c>
      <c r="AG25" s="5" t="s">
        <v>31</v>
      </c>
      <c r="AH25" s="5" t="s">
        <v>32</v>
      </c>
      <c r="AI25" s="7"/>
      <c r="AJ25" s="7"/>
    </row>
    <row r="26" spans="1:36" x14ac:dyDescent="0.2">
      <c r="A26" t="s">
        <v>33</v>
      </c>
      <c r="C26" s="8">
        <f>'[1]eWAT - GC Results (nmol g)'!C26/1000</f>
        <v>0.20024522725687463</v>
      </c>
      <c r="D26" s="15"/>
      <c r="E26" s="8">
        <f>'[1]eWAT - GC Results (nmol g)'!E26/1000</f>
        <v>0.3093079093505286</v>
      </c>
      <c r="F26" s="8">
        <f>'[1]eWAT - GC Results (nmol g)'!F26/1000</f>
        <v>0.30756027100553224</v>
      </c>
      <c r="G26" s="8">
        <f>'[1]eWAT - GC Results (nmol g)'!G26/1000</f>
        <v>0.32843334964461557</v>
      </c>
      <c r="H26" s="8">
        <f>'[1]eWAT - GC Results (nmol g)'!H26/1000</f>
        <v>0.22113798542987315</v>
      </c>
      <c r="I26" s="8">
        <f>'[1]eWAT - GC Results (nmol g)'!I26/1000</f>
        <v>0.29530929468732736</v>
      </c>
      <c r="J26" s="8">
        <f>'[1]eWAT - GC Results (nmol g)'!J26/1000</f>
        <v>0.24917544721744411</v>
      </c>
      <c r="K26" s="8">
        <f>'[1]eWAT - GC Results (nmol g)'!K26/1000</f>
        <v>0.21942680663415884</v>
      </c>
      <c r="L26" s="8">
        <f>'[1]eWAT - GC Results (nmol g)'!L26/1000</f>
        <v>0.17221857820610129</v>
      </c>
      <c r="M26" s="8"/>
      <c r="N26" s="8">
        <f>'[1]eWAT - GC Results (nmol g)'!N26/1000</f>
        <v>0.20280993107019041</v>
      </c>
      <c r="O26" s="8">
        <f>'[1]eWAT - GC Results (nmol g)'!O26/1000</f>
        <v>0.44264442068777532</v>
      </c>
      <c r="P26" s="8">
        <f>'[1]eWAT - GC Results (nmol g)'!P26/1000</f>
        <v>0.22145063726263253</v>
      </c>
      <c r="Q26" s="8">
        <f>'[1]eWAT - GC Results (nmol g)'!Q26/1000</f>
        <v>0.22935801654357993</v>
      </c>
      <c r="R26" s="8">
        <f>'[1]eWAT - GC Results (nmol g)'!R26/1000</f>
        <v>0.26597337420998063</v>
      </c>
      <c r="S26" s="8">
        <f>'[1]eWAT - GC Results (nmol g)'!S26/1000</f>
        <v>0.34764804475415023</v>
      </c>
      <c r="T26" s="8">
        <f>'[1]eWAT - GC Results (nmol g)'!T26/1000</f>
        <v>0.20786826564859093</v>
      </c>
      <c r="U26" s="8">
        <f>'[1]eWAT - GC Results (nmol g)'!U26/1000</f>
        <v>0.20208625832575652</v>
      </c>
      <c r="V26" s="8">
        <f>'[1]eWAT - GC Results (nmol g)'!V26/1000</f>
        <v>0.22609799211035214</v>
      </c>
      <c r="W26" s="8">
        <f>'[1]eWAT - GC Results (nmol g)'!W26/1000</f>
        <v>0.17283848516753983</v>
      </c>
      <c r="X26" s="8"/>
      <c r="Y26" s="8">
        <f>'[1]eWAT - GC Results (nmol g)'!Y26/1000</f>
        <v>0.19083445715291456</v>
      </c>
      <c r="Z26" s="8">
        <f>'[1]eWAT - GC Results (nmol g)'!Z26/1000</f>
        <v>0.24829550591798941</v>
      </c>
      <c r="AA26" s="8">
        <f>'[1]eWAT - GC Results (nmol g)'!AA26/1000</f>
        <v>0.21668783447023329</v>
      </c>
      <c r="AB26" s="8">
        <f>'[1]eWAT - GC Results (nmol g)'!AB26/1000</f>
        <v>0.29177988533789723</v>
      </c>
      <c r="AC26" s="15"/>
      <c r="AD26" s="8">
        <f>'[1]eWAT - GC Results (nmol g)'!AD26/1000</f>
        <v>0.2873884250925543</v>
      </c>
      <c r="AE26" s="8">
        <f>'[1]eWAT - GC Results (nmol g)'!AE26/1000</f>
        <v>0.24377678602481789</v>
      </c>
      <c r="AF26" s="8">
        <f>'[1]eWAT - GC Results (nmol g)'!AF26/1000</f>
        <v>0.29855752528542107</v>
      </c>
      <c r="AG26" s="8">
        <f>'[1]eWAT - GC Results (nmol g)'!AG26/1000</f>
        <v>0.23096850248780657</v>
      </c>
      <c r="AH26" s="8">
        <f>'[1]eWAT - GC Results (nmol g)'!AH26/1000</f>
        <v>0.2085089784190601</v>
      </c>
      <c r="AI26" s="9"/>
      <c r="AJ26" s="9"/>
    </row>
    <row r="27" spans="1:36" x14ac:dyDescent="0.2">
      <c r="A27" t="s">
        <v>35</v>
      </c>
      <c r="C27" s="8">
        <f>'[1]eWAT - GC Results (nmol g)'!C27/1000</f>
        <v>3.1106152984582649</v>
      </c>
      <c r="D27" s="15"/>
      <c r="E27" s="8">
        <f>'[1]eWAT - GC Results (nmol g)'!E27/1000</f>
        <v>3.7264216921075288</v>
      </c>
      <c r="F27" s="8">
        <f>'[1]eWAT - GC Results (nmol g)'!F27/1000</f>
        <v>3.8652722583070869</v>
      </c>
      <c r="G27" s="8">
        <f>'[1]eWAT - GC Results (nmol g)'!G27/1000</f>
        <v>4.0724301936339273</v>
      </c>
      <c r="H27" s="8">
        <f>'[1]eWAT - GC Results (nmol g)'!H27/1000</f>
        <v>2.6650111248706514</v>
      </c>
      <c r="I27" s="8">
        <f>'[1]eWAT - GC Results (nmol g)'!I27/1000</f>
        <v>3.9026759456965401</v>
      </c>
      <c r="J27" s="8">
        <f>'[1]eWAT - GC Results (nmol g)'!J27/1000</f>
        <v>3.57728005011126</v>
      </c>
      <c r="K27" s="8">
        <f>'[1]eWAT - GC Results (nmol g)'!K27/1000</f>
        <v>3.4767595605008346</v>
      </c>
      <c r="L27" s="8">
        <f>'[1]eWAT - GC Results (nmol g)'!L27/1000</f>
        <v>2.6033167954870655</v>
      </c>
      <c r="M27" s="8"/>
      <c r="N27" s="8">
        <f>'[1]eWAT - GC Results (nmol g)'!N27/1000</f>
        <v>2.4826963631899641</v>
      </c>
      <c r="O27" s="8">
        <f>'[1]eWAT - GC Results (nmol g)'!O27/1000</f>
        <v>3.9614649780943663</v>
      </c>
      <c r="P27" s="8">
        <f>'[1]eWAT - GC Results (nmol g)'!P27/1000</f>
        <v>1.9694844520929966</v>
      </c>
      <c r="Q27" s="8">
        <f>'[1]eWAT - GC Results (nmol g)'!Q27/1000</f>
        <v>3.4436258448830115</v>
      </c>
      <c r="R27" s="8">
        <f>'[1]eWAT - GC Results (nmol g)'!R27/1000</f>
        <v>2.7209849335788241</v>
      </c>
      <c r="S27" s="8">
        <f>'[1]eWAT - GC Results (nmol g)'!S27/1000</f>
        <v>3.7622717573004865</v>
      </c>
      <c r="T27" s="8">
        <f>'[1]eWAT - GC Results (nmol g)'!T27/1000</f>
        <v>2.7321995456171075</v>
      </c>
      <c r="U27" s="8">
        <f>'[1]eWAT - GC Results (nmol g)'!U27/1000</f>
        <v>3.0574680512703361</v>
      </c>
      <c r="V27" s="8">
        <f>'[1]eWAT - GC Results (nmol g)'!V27/1000</f>
        <v>2.495092476730862</v>
      </c>
      <c r="W27" s="8">
        <f>'[1]eWAT - GC Results (nmol g)'!W27/1000</f>
        <v>2.1441868176598464</v>
      </c>
      <c r="X27" s="8"/>
      <c r="Y27" s="8">
        <f>'[1]eWAT - GC Results (nmol g)'!Y27/1000</f>
        <v>2.6651721703813234</v>
      </c>
      <c r="Z27" s="8">
        <f>'[1]eWAT - GC Results (nmol g)'!Z27/1000</f>
        <v>3.1193212868109899</v>
      </c>
      <c r="AA27" s="8">
        <f>'[1]eWAT - GC Results (nmol g)'!AA27/1000</f>
        <v>2.9931053076882566</v>
      </c>
      <c r="AB27" s="8">
        <f>'[1]eWAT - GC Results (nmol g)'!AB27/1000</f>
        <v>3.2473280878631816</v>
      </c>
      <c r="AC27" s="15"/>
      <c r="AD27" s="8">
        <f>'[1]eWAT - GC Results (nmol g)'!AD27/1000</f>
        <v>3.4854659611560259</v>
      </c>
      <c r="AE27" s="8">
        <f>'[1]eWAT - GC Results (nmol g)'!AE27/1000</f>
        <v>2.9282935501941383</v>
      </c>
      <c r="AF27" s="8">
        <f>'[1]eWAT - GC Results (nmol g)'!AF27/1000</f>
        <v>4.5058806731958825</v>
      </c>
      <c r="AG27" s="8">
        <f>'[1]eWAT - GC Results (nmol g)'!AG27/1000</f>
        <v>3.0708219422286391</v>
      </c>
      <c r="AH27" s="8">
        <f>'[1]eWAT - GC Results (nmol g)'!AH27/1000</f>
        <v>2.9626182217066175</v>
      </c>
      <c r="AI27" s="9"/>
      <c r="AJ27" s="9"/>
    </row>
    <row r="28" spans="1:36" x14ac:dyDescent="0.2">
      <c r="A28" t="s">
        <v>36</v>
      </c>
      <c r="C28" s="8">
        <f>'[1]eWAT - GC Results (nmol g)'!C28/1000</f>
        <v>0.68502518204759122</v>
      </c>
      <c r="D28" s="15"/>
      <c r="E28" s="8">
        <f>'[1]eWAT - GC Results (nmol g)'!E28/1000</f>
        <v>0.96618255683148457</v>
      </c>
      <c r="F28" s="8">
        <f>'[1]eWAT - GC Results (nmol g)'!F28/1000</f>
        <v>0.79709482845831336</v>
      </c>
      <c r="G28" s="8">
        <f>'[1]eWAT - GC Results (nmol g)'!G28/1000</f>
        <v>1.0721450080485961</v>
      </c>
      <c r="H28" s="8">
        <f>'[1]eWAT - GC Results (nmol g)'!H28/1000</f>
        <v>0.54760073946854571</v>
      </c>
      <c r="I28" s="8">
        <f>'[1]eWAT - GC Results (nmol g)'!I28/1000</f>
        <v>0.9439116210178321</v>
      </c>
      <c r="J28" s="8">
        <f>'[1]eWAT - GC Results (nmol g)'!J28/1000</f>
        <v>0.74396164380946617</v>
      </c>
      <c r="K28" s="8">
        <f>'[1]eWAT - GC Results (nmol g)'!K28/1000</f>
        <v>0.75481524984902726</v>
      </c>
      <c r="L28" s="8">
        <f>'[1]eWAT - GC Results (nmol g)'!L28/1000</f>
        <v>0.60852373365119405</v>
      </c>
      <c r="M28" s="8"/>
      <c r="N28" s="8">
        <f>'[1]eWAT - GC Results (nmol g)'!N28/1000</f>
        <v>0.6231118946940436</v>
      </c>
      <c r="O28" s="8">
        <f>'[1]eWAT - GC Results (nmol g)'!O28/1000</f>
        <v>0.97560312790749759</v>
      </c>
      <c r="P28" s="8">
        <f>'[1]eWAT - GC Results (nmol g)'!P28/1000</f>
        <v>0.82998190454322174</v>
      </c>
      <c r="Q28" s="8">
        <f>'[1]eWAT - GC Results (nmol g)'!Q28/1000</f>
        <v>0.83644324718967966</v>
      </c>
      <c r="R28" s="8">
        <f>'[1]eWAT - GC Results (nmol g)'!R28/1000</f>
        <v>0.70815561355948464</v>
      </c>
      <c r="S28" s="8">
        <f>'[1]eWAT - GC Results (nmol g)'!S28/1000</f>
        <v>0.86071392628300714</v>
      </c>
      <c r="T28" s="8">
        <f>'[1]eWAT - GC Results (nmol g)'!T28/1000</f>
        <v>0.87510195062688467</v>
      </c>
      <c r="U28" s="8">
        <f>'[1]eWAT - GC Results (nmol g)'!U28/1000</f>
        <v>0.73098525431886607</v>
      </c>
      <c r="V28" s="8">
        <f>'[1]eWAT - GC Results (nmol g)'!V28/1000</f>
        <v>0.68586224397464635</v>
      </c>
      <c r="W28" s="8">
        <f>'[1]eWAT - GC Results (nmol g)'!W28/1000</f>
        <v>0.69864399727937332</v>
      </c>
      <c r="X28" s="8"/>
      <c r="Y28" s="8">
        <f>'[1]eWAT - GC Results (nmol g)'!Y28/1000</f>
        <v>0.66102624513015651</v>
      </c>
      <c r="Z28" s="8">
        <f>'[1]eWAT - GC Results (nmol g)'!Z28/1000</f>
        <v>0.81108495345374709</v>
      </c>
      <c r="AA28" s="8">
        <f>'[1]eWAT - GC Results (nmol g)'!AA28/1000</f>
        <v>0.74461067388523527</v>
      </c>
      <c r="AB28" s="8">
        <f>'[1]eWAT - GC Results (nmol g)'!AB28/1000</f>
        <v>0.75763085474206493</v>
      </c>
      <c r="AC28" s="15"/>
      <c r="AD28" s="8">
        <f>'[1]eWAT - GC Results (nmol g)'!AD28/1000</f>
        <v>0.82248501771888238</v>
      </c>
      <c r="AE28" s="8">
        <f>'[1]eWAT - GC Results (nmol g)'!AE28/1000</f>
        <v>0.94704821828211894</v>
      </c>
      <c r="AF28" s="8">
        <f>'[1]eWAT - GC Results (nmol g)'!AF28/1000</f>
        <v>1.1399782873074331</v>
      </c>
      <c r="AG28" s="8">
        <f>'[1]eWAT - GC Results (nmol g)'!AG28/1000</f>
        <v>0.75202897094111087</v>
      </c>
      <c r="AH28" s="8">
        <f>'[1]eWAT - GC Results (nmol g)'!AH28/1000</f>
        <v>0.7106134072509902</v>
      </c>
      <c r="AI28" s="9"/>
      <c r="AJ28" s="9"/>
    </row>
    <row r="29" spans="1:36" x14ac:dyDescent="0.2">
      <c r="A29" t="s">
        <v>50</v>
      </c>
      <c r="C29" s="8">
        <f>'[1]eWAT - GC Results (nmol g)'!C29/1000</f>
        <v>0</v>
      </c>
      <c r="D29" s="15"/>
      <c r="E29" s="8">
        <f>'[1]eWAT - GC Results (nmol g)'!E29/1000</f>
        <v>0</v>
      </c>
      <c r="F29" s="8">
        <f>'[1]eWAT - GC Results (nmol g)'!F29/1000</f>
        <v>0</v>
      </c>
      <c r="G29" s="8">
        <f>'[1]eWAT - GC Results (nmol g)'!G29/1000</f>
        <v>0</v>
      </c>
      <c r="H29" s="8">
        <f>'[1]eWAT - GC Results (nmol g)'!H29/1000</f>
        <v>0</v>
      </c>
      <c r="I29" s="8">
        <f>'[1]eWAT - GC Results (nmol g)'!I29/1000</f>
        <v>0</v>
      </c>
      <c r="J29" s="8">
        <f>'[1]eWAT - GC Results (nmol g)'!J29/1000</f>
        <v>0</v>
      </c>
      <c r="K29" s="8">
        <f>'[1]eWAT - GC Results (nmol g)'!K29/1000</f>
        <v>0</v>
      </c>
      <c r="L29" s="8">
        <f>'[1]eWAT - GC Results (nmol g)'!L29/1000</f>
        <v>0</v>
      </c>
      <c r="M29" s="8"/>
      <c r="N29" s="8">
        <f>'[1]eWAT - GC Results (nmol g)'!N29/1000</f>
        <v>0</v>
      </c>
      <c r="O29" s="8">
        <f>'[1]eWAT - GC Results (nmol g)'!O29/1000</f>
        <v>0</v>
      </c>
      <c r="P29" s="8">
        <f>'[1]eWAT - GC Results (nmol g)'!P29/1000</f>
        <v>0</v>
      </c>
      <c r="Q29" s="8">
        <f>'[1]eWAT - GC Results (nmol g)'!Q29/1000</f>
        <v>0</v>
      </c>
      <c r="R29" s="8">
        <f>'[1]eWAT - GC Results (nmol g)'!R29/1000</f>
        <v>0</v>
      </c>
      <c r="S29" s="8">
        <f>'[1]eWAT - GC Results (nmol g)'!S29/1000</f>
        <v>0</v>
      </c>
      <c r="T29" s="8">
        <f>'[1]eWAT - GC Results (nmol g)'!T29/1000</f>
        <v>0</v>
      </c>
      <c r="U29" s="8">
        <f>'[1]eWAT - GC Results (nmol g)'!U29/1000</f>
        <v>0</v>
      </c>
      <c r="V29" s="8">
        <f>'[1]eWAT - GC Results (nmol g)'!V29/1000</f>
        <v>0</v>
      </c>
      <c r="W29" s="8">
        <f>'[1]eWAT - GC Results (nmol g)'!W29/1000</f>
        <v>0</v>
      </c>
      <c r="X29" s="8"/>
      <c r="Y29" s="8">
        <f>'[1]eWAT - GC Results (nmol g)'!Y29/1000</f>
        <v>0</v>
      </c>
      <c r="Z29" s="8">
        <f>'[1]eWAT - GC Results (nmol g)'!Z29/1000</f>
        <v>0</v>
      </c>
      <c r="AA29" s="8">
        <f>'[1]eWAT - GC Results (nmol g)'!AA29/1000</f>
        <v>0</v>
      </c>
      <c r="AB29" s="8">
        <f>'[1]eWAT - GC Results (nmol g)'!AB29/1000</f>
        <v>0</v>
      </c>
      <c r="AC29" s="15"/>
      <c r="AD29" s="8">
        <f>'[1]eWAT - GC Results (nmol g)'!AD29/1000</f>
        <v>0</v>
      </c>
      <c r="AE29" s="8">
        <f>'[1]eWAT - GC Results (nmol g)'!AE29/1000</f>
        <v>0</v>
      </c>
      <c r="AF29" s="8">
        <f>'[1]eWAT - GC Results (nmol g)'!AF29/1000</f>
        <v>0</v>
      </c>
      <c r="AG29" s="8">
        <f>'[1]eWAT - GC Results (nmol g)'!AG29/1000</f>
        <v>0</v>
      </c>
      <c r="AH29" s="8">
        <f>'[1]eWAT - GC Results (nmol g)'!AH29/1000</f>
        <v>0</v>
      </c>
      <c r="AI29" s="9"/>
      <c r="AJ29" s="9"/>
    </row>
    <row r="30" spans="1:36" x14ac:dyDescent="0.2">
      <c r="A30" t="s">
        <v>37</v>
      </c>
      <c r="C30" s="8">
        <f>'[1]eWAT - GC Results (nmol g)'!C30/1000</f>
        <v>0.46747125971229042</v>
      </c>
      <c r="D30" s="15"/>
      <c r="E30" s="8">
        <f>'[1]eWAT - GC Results (nmol g)'!E30/1000</f>
        <v>0.58520970730221611</v>
      </c>
      <c r="F30" s="8">
        <f>'[1]eWAT - GC Results (nmol g)'!F30/1000</f>
        <v>0.68354789608361499</v>
      </c>
      <c r="G30" s="8">
        <f>'[1]eWAT - GC Results (nmol g)'!G30/1000</f>
        <v>0.58362622494682215</v>
      </c>
      <c r="H30" s="8">
        <f>'[1]eWAT - GC Results (nmol g)'!H30/1000</f>
        <v>0.47597407676497305</v>
      </c>
      <c r="I30" s="8">
        <f>'[1]eWAT - GC Results (nmol g)'!I30/1000</f>
        <v>0.5946213957688542</v>
      </c>
      <c r="J30" s="8">
        <f>'[1]eWAT - GC Results (nmol g)'!J30/1000</f>
        <v>0.61760549340601745</v>
      </c>
      <c r="K30" s="8">
        <f>'[1]eWAT - GC Results (nmol g)'!K30/1000</f>
        <v>0.57253486950094645</v>
      </c>
      <c r="L30" s="8">
        <f>'[1]eWAT - GC Results (nmol g)'!L30/1000</f>
        <v>0.42809841550408634</v>
      </c>
      <c r="M30" s="8"/>
      <c r="N30" s="8">
        <f>'[1]eWAT - GC Results (nmol g)'!N30/1000</f>
        <v>0.40545026346598689</v>
      </c>
      <c r="O30" s="8">
        <f>'[1]eWAT - GC Results (nmol g)'!O30/1000</f>
        <v>1.0868121040239682</v>
      </c>
      <c r="P30" s="8">
        <f>'[1]eWAT - GC Results (nmol g)'!P30/1000</f>
        <v>0.4289753442363724</v>
      </c>
      <c r="Q30" s="8">
        <f>'[1]eWAT - GC Results (nmol g)'!Q30/1000</f>
        <v>0.61635271697941874</v>
      </c>
      <c r="R30" s="8">
        <f>'[1]eWAT - GC Results (nmol g)'!R30/1000</f>
        <v>0.5068956878889217</v>
      </c>
      <c r="S30" s="8">
        <f>'[1]eWAT - GC Results (nmol g)'!S30/1000</f>
        <v>0.68555543585362466</v>
      </c>
      <c r="T30" s="8">
        <f>'[1]eWAT - GC Results (nmol g)'!T30/1000</f>
        <v>0.44191713737841537</v>
      </c>
      <c r="U30" s="8">
        <f>'[1]eWAT - GC Results (nmol g)'!U30/1000</f>
        <v>0.53179232150289424</v>
      </c>
      <c r="V30" s="8">
        <f>'[1]eWAT - GC Results (nmol g)'!V30/1000</f>
        <v>0.4771365027252959</v>
      </c>
      <c r="W30" s="8">
        <f>'[1]eWAT - GC Results (nmol g)'!W30/1000</f>
        <v>0.33248698137882038</v>
      </c>
      <c r="X30" s="8"/>
      <c r="Y30" s="8">
        <f>'[1]eWAT - GC Results (nmol g)'!Y30/1000</f>
        <v>0.43806860620113636</v>
      </c>
      <c r="Z30" s="8">
        <f>'[1]eWAT - GC Results (nmol g)'!Z30/1000</f>
        <v>0.51513410575805263</v>
      </c>
      <c r="AA30" s="8">
        <f>'[1]eWAT - GC Results (nmol g)'!AA30/1000</f>
        <v>0.45875316065507549</v>
      </c>
      <c r="AB30" s="8">
        <f>'[1]eWAT - GC Results (nmol g)'!AB30/1000</f>
        <v>0.56483010304402614</v>
      </c>
      <c r="AC30" s="15"/>
      <c r="AD30" s="8">
        <f>'[1]eWAT - GC Results (nmol g)'!AD30/1000</f>
        <v>0.77588746838209</v>
      </c>
      <c r="AE30" s="8">
        <f>'[1]eWAT - GC Results (nmol g)'!AE30/1000</f>
        <v>0.57247532630847764</v>
      </c>
      <c r="AF30" s="8">
        <f>'[1]eWAT - GC Results (nmol g)'!AF30/1000</f>
        <v>0.75582396756252423</v>
      </c>
      <c r="AG30" s="8">
        <f>'[1]eWAT - GC Results (nmol g)'!AG30/1000</f>
        <v>0.58624423884178745</v>
      </c>
      <c r="AH30" s="8">
        <f>'[1]eWAT - GC Results (nmol g)'!AH30/1000</f>
        <v>0.53820335747568293</v>
      </c>
      <c r="AI30" s="9"/>
      <c r="AJ30" s="9"/>
    </row>
    <row r="31" spans="1:36" x14ac:dyDescent="0.2">
      <c r="A31" t="s">
        <v>38</v>
      </c>
      <c r="C31" s="8">
        <f>'[1]eWAT - GC Results (nmol g)'!C31/1000</f>
        <v>5.2098940785576282</v>
      </c>
      <c r="D31" s="15"/>
      <c r="E31" s="8">
        <f>'[1]eWAT - GC Results (nmol g)'!E31/1000</f>
        <v>6.8466965443531373</v>
      </c>
      <c r="F31" s="8">
        <f>'[1]eWAT - GC Results (nmol g)'!F31/1000</f>
        <v>6.4241146951582042</v>
      </c>
      <c r="G31" s="8">
        <f>'[1]eWAT - GC Results (nmol g)'!G31/1000</f>
        <v>7.0152012310917655</v>
      </c>
      <c r="H31" s="8">
        <f>'[1]eWAT - GC Results (nmol g)'!H31/1000</f>
        <v>3.7633574965393399</v>
      </c>
      <c r="I31" s="8">
        <f>'[1]eWAT - GC Results (nmol g)'!I31/1000</f>
        <v>7.0391866337341122</v>
      </c>
      <c r="J31" s="8">
        <f>'[1]eWAT - GC Results (nmol g)'!J31/1000</f>
        <v>6.6887310227678212</v>
      </c>
      <c r="K31" s="8">
        <f>'[1]eWAT - GC Results (nmol g)'!K31/1000</f>
        <v>7.0437677336750761</v>
      </c>
      <c r="L31" s="8">
        <f>'[1]eWAT - GC Results (nmol g)'!L31/1000</f>
        <v>4.260945945766915</v>
      </c>
      <c r="M31" s="8"/>
      <c r="N31" s="8">
        <f>'[1]eWAT - GC Results (nmol g)'!N31/1000</f>
        <v>3.2608035529837869</v>
      </c>
      <c r="O31" s="8">
        <f>'[1]eWAT - GC Results (nmol g)'!O31/1000</f>
        <v>4.2014123441484044</v>
      </c>
      <c r="P31" s="8">
        <f>'[1]eWAT - GC Results (nmol g)'!P31/1000</f>
        <v>2.9821227721060395</v>
      </c>
      <c r="Q31" s="8">
        <f>'[1]eWAT - GC Results (nmol g)'!Q31/1000</f>
        <v>6.0594498277022231</v>
      </c>
      <c r="R31" s="8">
        <f>'[1]eWAT - GC Results (nmol g)'!R31/1000</f>
        <v>3.5483039275360557</v>
      </c>
      <c r="S31" s="8">
        <f>'[1]eWAT - GC Results (nmol g)'!S31/1000</f>
        <v>5.1517554492326765</v>
      </c>
      <c r="T31" s="8">
        <f>'[1]eWAT - GC Results (nmol g)'!T31/1000</f>
        <v>4.1889417441908119</v>
      </c>
      <c r="U31" s="8">
        <f>'[1]eWAT - GC Results (nmol g)'!U31/1000</f>
        <v>4.7282860513194152</v>
      </c>
      <c r="V31" s="8">
        <f>'[1]eWAT - GC Results (nmol g)'!V31/1000</f>
        <v>4.1125157457172135</v>
      </c>
      <c r="W31" s="8">
        <f>'[1]eWAT - GC Results (nmol g)'!W31/1000</f>
        <v>3.5634340098419797</v>
      </c>
      <c r="X31" s="8"/>
      <c r="Y31" s="8">
        <f>'[1]eWAT - GC Results (nmol g)'!Y31/1000</f>
        <v>3.4422975158326428</v>
      </c>
      <c r="Z31" s="8">
        <f>'[1]eWAT - GC Results (nmol g)'!Z31/1000</f>
        <v>4.402838531692522</v>
      </c>
      <c r="AA31" s="8">
        <f>'[1]eWAT - GC Results (nmol g)'!AA31/1000</f>
        <v>3.9805295261514835</v>
      </c>
      <c r="AB31" s="8">
        <f>'[1]eWAT - GC Results (nmol g)'!AB31/1000</f>
        <v>4.8071731183742559</v>
      </c>
      <c r="AC31" s="15"/>
      <c r="AD31" s="8">
        <f>'[1]eWAT - GC Results (nmol g)'!AD31/1000</f>
        <v>4.8937094573134079</v>
      </c>
      <c r="AE31" s="8">
        <f>'[1]eWAT - GC Results (nmol g)'!AE31/1000</f>
        <v>4.7333810296806238</v>
      </c>
      <c r="AF31" s="8">
        <f>'[1]eWAT - GC Results (nmol g)'!AF31/1000</f>
        <v>6.9006383699266705</v>
      </c>
      <c r="AG31" s="8">
        <f>'[1]eWAT - GC Results (nmol g)'!AG31/1000</f>
        <v>3.8786509133500959</v>
      </c>
      <c r="AH31" s="8">
        <f>'[1]eWAT - GC Results (nmol g)'!AH31/1000</f>
        <v>3.8058515343447024</v>
      </c>
      <c r="AI31" s="9"/>
      <c r="AJ31" s="9"/>
    </row>
    <row r="32" spans="1:36" x14ac:dyDescent="0.2">
      <c r="A32" t="s">
        <v>39</v>
      </c>
      <c r="C32" s="8">
        <f>'[1]eWAT - GC Results (nmol g)'!C32/1000</f>
        <v>2.5300377495225383</v>
      </c>
      <c r="D32" s="15"/>
      <c r="E32" s="8">
        <f>'[1]eWAT - GC Results (nmol g)'!E32/1000</f>
        <v>3.7777666747560188</v>
      </c>
      <c r="F32" s="8">
        <f>'[1]eWAT - GC Results (nmol g)'!F32/1000</f>
        <v>3.3717684522211484</v>
      </c>
      <c r="G32" s="8">
        <f>'[1]eWAT - GC Results (nmol g)'!G32/1000</f>
        <v>3.3940512390260449</v>
      </c>
      <c r="H32" s="8">
        <f>'[1]eWAT - GC Results (nmol g)'!H32/1000</f>
        <v>1.9886431460163274</v>
      </c>
      <c r="I32" s="8">
        <f>'[1]eWAT - GC Results (nmol g)'!I32/1000</f>
        <v>3.5297473808954578</v>
      </c>
      <c r="J32" s="8">
        <f>'[1]eWAT - GC Results (nmol g)'!J32/1000</f>
        <v>3.1874633717147032</v>
      </c>
      <c r="K32" s="8">
        <f>'[1]eWAT - GC Results (nmol g)'!K32/1000</f>
        <v>3.1882707667667383</v>
      </c>
      <c r="L32" s="8">
        <f>'[1]eWAT - GC Results (nmol g)'!L32/1000</f>
        <v>2.1041267406711799</v>
      </c>
      <c r="M32" s="8"/>
      <c r="N32" s="8">
        <f>'[1]eWAT - GC Results (nmol g)'!N32/1000</f>
        <v>1.7116862339160148</v>
      </c>
      <c r="O32" s="8">
        <f>'[1]eWAT - GC Results (nmol g)'!O32/1000</f>
        <v>2.4073074673918606</v>
      </c>
      <c r="P32" s="8">
        <f>'[1]eWAT - GC Results (nmol g)'!P32/1000</f>
        <v>1.815135964558946</v>
      </c>
      <c r="Q32" s="8">
        <f>'[1]eWAT - GC Results (nmol g)'!Q32/1000</f>
        <v>3.233763028384522</v>
      </c>
      <c r="R32" s="8">
        <f>'[1]eWAT - GC Results (nmol g)'!R32/1000</f>
        <v>1.9363098550601254</v>
      </c>
      <c r="S32" s="8">
        <f>'[1]eWAT - GC Results (nmol g)'!S32/1000</f>
        <v>2.7567554333986557</v>
      </c>
      <c r="T32" s="8">
        <f>'[1]eWAT - GC Results (nmol g)'!T32/1000</f>
        <v>2.4269162955014605</v>
      </c>
      <c r="U32" s="8">
        <f>'[1]eWAT - GC Results (nmol g)'!U32/1000</f>
        <v>2.447588926152521</v>
      </c>
      <c r="V32" s="8">
        <f>'[1]eWAT - GC Results (nmol g)'!V32/1000</f>
        <v>2.3347922928411098</v>
      </c>
      <c r="W32" s="8">
        <f>'[1]eWAT - GC Results (nmol g)'!W32/1000</f>
        <v>2.114638101455828</v>
      </c>
      <c r="X32" s="8"/>
      <c r="Y32" s="8">
        <f>'[1]eWAT - GC Results (nmol g)'!Y32/1000</f>
        <v>1.8832127611766947</v>
      </c>
      <c r="Z32" s="8">
        <f>'[1]eWAT - GC Results (nmol g)'!Z32/1000</f>
        <v>2.4571247808358834</v>
      </c>
      <c r="AA32" s="8">
        <f>'[1]eWAT - GC Results (nmol g)'!AA32/1000</f>
        <v>2.260865223693675</v>
      </c>
      <c r="AB32" s="8">
        <f>'[1]eWAT - GC Results (nmol g)'!AB32/1000</f>
        <v>2.679067390581984</v>
      </c>
      <c r="AC32" s="15"/>
      <c r="AD32" s="8">
        <f>'[1]eWAT - GC Results (nmol g)'!AD32/1000</f>
        <v>2.8200900127800783</v>
      </c>
      <c r="AE32" s="8">
        <f>'[1]eWAT - GC Results (nmol g)'!AE32/1000</f>
        <v>2.727713577357743</v>
      </c>
      <c r="AF32" s="8">
        <f>'[1]eWAT - GC Results (nmol g)'!AF32/1000</f>
        <v>3.6929085464246456</v>
      </c>
      <c r="AG32" s="8">
        <f>'[1]eWAT - GC Results (nmol g)'!AG32/1000</f>
        <v>2.1197982932781025</v>
      </c>
      <c r="AH32" s="8">
        <f>'[1]eWAT - GC Results (nmol g)'!AH32/1000</f>
        <v>2.1994913874476021</v>
      </c>
      <c r="AI32" s="9"/>
      <c r="AJ32" s="9"/>
    </row>
    <row r="33" spans="1:36" x14ac:dyDescent="0.2">
      <c r="A33" t="s">
        <v>40</v>
      </c>
      <c r="C33" s="8">
        <f>'[1]eWAT - GC Results (nmol g)'!C33/1000</f>
        <v>1.6713569957253271E-2</v>
      </c>
      <c r="D33" s="15"/>
      <c r="E33" s="8">
        <f>'[1]eWAT - GC Results (nmol g)'!E33/1000</f>
        <v>2.4345099195301013E-2</v>
      </c>
      <c r="F33" s="8">
        <f>'[1]eWAT - GC Results (nmol g)'!F33/1000</f>
        <v>1.2593883113931875E-2</v>
      </c>
      <c r="G33" s="8">
        <f>'[1]eWAT - GC Results (nmol g)'!G33/1000</f>
        <v>2.4602215411821955E-2</v>
      </c>
      <c r="H33" s="8">
        <f>'[1]eWAT - GC Results (nmol g)'!H33/1000</f>
        <v>1.2022466175843799E-2</v>
      </c>
      <c r="I33" s="8">
        <f>'[1]eWAT - GC Results (nmol g)'!I33/1000</f>
        <v>2.0761287995489673E-2</v>
      </c>
      <c r="J33" s="8">
        <f>'[1]eWAT - GC Results (nmol g)'!J33/1000</f>
        <v>1.6807317750228822E-2</v>
      </c>
      <c r="K33" s="8">
        <f>'[1]eWAT - GC Results (nmol g)'!K33/1000</f>
        <v>1.7773249905278062E-2</v>
      </c>
      <c r="L33" s="8">
        <f>'[1]eWAT - GC Results (nmol g)'!L33/1000</f>
        <v>9.841502476714406E-3</v>
      </c>
      <c r="M33" s="8"/>
      <c r="N33" s="8">
        <f>'[1]eWAT - GC Results (nmol g)'!N33/1000</f>
        <v>9.7786322477063023E-3</v>
      </c>
      <c r="O33" s="8">
        <f>'[1]eWAT - GC Results (nmol g)'!O33/1000</f>
        <v>1.3608909574736591E-2</v>
      </c>
      <c r="P33" s="8">
        <f>'[1]eWAT - GC Results (nmol g)'!P33/1000</f>
        <v>8.8082990363147484E-3</v>
      </c>
      <c r="Q33" s="8">
        <f>'[1]eWAT - GC Results (nmol g)'!Q33/1000</f>
        <v>1.1720493643466511E-2</v>
      </c>
      <c r="R33" s="8">
        <f>'[1]eWAT - GC Results (nmol g)'!R33/1000</f>
        <v>9.3115479819821535E-3</v>
      </c>
      <c r="S33" s="8">
        <f>'[1]eWAT - GC Results (nmol g)'!S33/1000</f>
        <v>1.6023223386044456E-2</v>
      </c>
      <c r="T33" s="8">
        <f>'[1]eWAT - GC Results (nmol g)'!T33/1000</f>
        <v>6.7180589741409214E-3</v>
      </c>
      <c r="U33" s="8">
        <f>'[1]eWAT - GC Results (nmol g)'!U33/1000</f>
        <v>7.2401946758224563E-3</v>
      </c>
      <c r="V33" s="8">
        <f>'[1]eWAT - GC Results (nmol g)'!V33/1000</f>
        <v>8.433268709881734E-3</v>
      </c>
      <c r="W33" s="8">
        <f>'[1]eWAT - GC Results (nmol g)'!W33/1000</f>
        <v>5.4461234613495616E-3</v>
      </c>
      <c r="X33" s="8"/>
      <c r="Y33" s="8">
        <f>'[1]eWAT - GC Results (nmol g)'!Y33/1000</f>
        <v>9.138033315043698E-3</v>
      </c>
      <c r="Z33" s="8">
        <f>'[1]eWAT - GC Results (nmol g)'!Z33/1000</f>
        <v>1.8044656128430328E-2</v>
      </c>
      <c r="AA33" s="8">
        <f>'[1]eWAT - GC Results (nmol g)'!AA33/1000</f>
        <v>7.6357090534617577E-3</v>
      </c>
      <c r="AB33" s="8">
        <f>'[1]eWAT - GC Results (nmol g)'!AB33/1000</f>
        <v>1.3942040035855488E-2</v>
      </c>
      <c r="AC33" s="15"/>
      <c r="AD33" s="8">
        <f>'[1]eWAT - GC Results (nmol g)'!AD33/1000</f>
        <v>9.2662589245500054E-3</v>
      </c>
      <c r="AE33" s="8">
        <f>'[1]eWAT - GC Results (nmol g)'!AE33/1000</f>
        <v>1.1187765731710084E-2</v>
      </c>
      <c r="AF33" s="8">
        <f>'[1]eWAT - GC Results (nmol g)'!AF33/1000</f>
        <v>1.3374840561251709E-2</v>
      </c>
      <c r="AG33" s="8">
        <f>'[1]eWAT - GC Results (nmol g)'!AG33/1000</f>
        <v>1.7754454354508432E-2</v>
      </c>
      <c r="AH33" s="8">
        <f>'[1]eWAT - GC Results (nmol g)'!AH33/1000</f>
        <v>7.5147991507706225E-3</v>
      </c>
      <c r="AI33" s="9"/>
      <c r="AJ33" s="9"/>
    </row>
    <row r="34" spans="1:36" x14ac:dyDescent="0.2">
      <c r="A34" t="s">
        <v>41</v>
      </c>
      <c r="C34" s="8">
        <f>'[1]eWAT - GC Results (nmol g)'!C34/1000</f>
        <v>0.1308872208009475</v>
      </c>
      <c r="D34" s="15"/>
      <c r="E34" s="8">
        <f>'[1]eWAT - GC Results (nmol g)'!E34/1000</f>
        <v>0.19422147172209606</v>
      </c>
      <c r="F34" s="8">
        <f>'[1]eWAT - GC Results (nmol g)'!F34/1000</f>
        <v>0.19861794979563549</v>
      </c>
      <c r="G34" s="8">
        <f>'[1]eWAT - GC Results (nmol g)'!G34/1000</f>
        <v>0.20649009483541139</v>
      </c>
      <c r="H34" s="8">
        <f>'[1]eWAT - GC Results (nmol g)'!H34/1000</f>
        <v>0.11418636849203233</v>
      </c>
      <c r="I34" s="8">
        <f>'[1]eWAT - GC Results (nmol g)'!I34/1000</f>
        <v>0.18879621200442326</v>
      </c>
      <c r="J34" s="8">
        <f>'[1]eWAT - GC Results (nmol g)'!J34/1000</f>
        <v>0.18546657727455063</v>
      </c>
      <c r="K34" s="8">
        <f>'[1]eWAT - GC Results (nmol g)'!K34/1000</f>
        <v>0.15557441389713239</v>
      </c>
      <c r="L34" s="8">
        <f>'[1]eWAT - GC Results (nmol g)'!L34/1000</f>
        <v>0.10487048660936706</v>
      </c>
      <c r="M34" s="8"/>
      <c r="N34" s="8">
        <f>'[1]eWAT - GC Results (nmol g)'!N34/1000</f>
        <v>9.9694962580352264E-2</v>
      </c>
      <c r="O34" s="8">
        <f>'[1]eWAT - GC Results (nmol g)'!O34/1000</f>
        <v>0.13700056716710077</v>
      </c>
      <c r="P34" s="8">
        <f>'[1]eWAT - GC Results (nmol g)'!P34/1000</f>
        <v>0.10345745414172079</v>
      </c>
      <c r="Q34" s="8">
        <f>'[1]eWAT - GC Results (nmol g)'!Q34/1000</f>
        <v>0.14850858257912944</v>
      </c>
      <c r="R34" s="8">
        <f>'[1]eWAT - GC Results (nmol g)'!R34/1000</f>
        <v>0.12203699428804239</v>
      </c>
      <c r="S34" s="8">
        <f>'[1]eWAT - GC Results (nmol g)'!S34/1000</f>
        <v>0.17169487278218987</v>
      </c>
      <c r="T34" s="8">
        <f>'[1]eWAT - GC Results (nmol g)'!T34/1000</f>
        <v>0.1564497336553787</v>
      </c>
      <c r="U34" s="8">
        <f>'[1]eWAT - GC Results (nmol g)'!U34/1000</f>
        <v>0.12307976074630551</v>
      </c>
      <c r="V34" s="8">
        <f>'[1]eWAT - GC Results (nmol g)'!V34/1000</f>
        <v>0.12897554043583551</v>
      </c>
      <c r="W34" s="8">
        <f>'[1]eWAT - GC Results (nmol g)'!W34/1000</f>
        <v>0.12730563612503829</v>
      </c>
      <c r="X34" s="8"/>
      <c r="Y34" s="8">
        <f>'[1]eWAT - GC Results (nmol g)'!Y34/1000</f>
        <v>0.11361771033940039</v>
      </c>
      <c r="Z34" s="8">
        <f>'[1]eWAT - GC Results (nmol g)'!Z34/1000</f>
        <v>0.14564945649778241</v>
      </c>
      <c r="AA34" s="8">
        <f>'[1]eWAT - GC Results (nmol g)'!AA34/1000</f>
        <v>0.13404077522920357</v>
      </c>
      <c r="AB34" s="8">
        <f>'[1]eWAT - GC Results (nmol g)'!AB34/1000</f>
        <v>0.14273389081543425</v>
      </c>
      <c r="AC34" s="15"/>
      <c r="AD34" s="8">
        <f>'[1]eWAT - GC Results (nmol g)'!AD34/1000</f>
        <v>0.16858755194640743</v>
      </c>
      <c r="AE34" s="8">
        <f>'[1]eWAT - GC Results (nmol g)'!AE34/1000</f>
        <v>0.14660583418928028</v>
      </c>
      <c r="AF34" s="8">
        <f>'[1]eWAT - GC Results (nmol g)'!AF34/1000</f>
        <v>0.21064221268605965</v>
      </c>
      <c r="AG34" s="8">
        <f>'[1]eWAT - GC Results (nmol g)'!AG34/1000</f>
        <v>0.1214465804592294</v>
      </c>
      <c r="AH34" s="8">
        <f>'[1]eWAT - GC Results (nmol g)'!AH34/1000</f>
        <v>0.13263749773009612</v>
      </c>
      <c r="AI34" s="9"/>
      <c r="AJ34" s="9"/>
    </row>
    <row r="35" spans="1:36" x14ac:dyDescent="0.2">
      <c r="A35" t="s">
        <v>42</v>
      </c>
      <c r="C35" s="8">
        <f>'[1]eWAT - GC Results (nmol g)'!C35/1000</f>
        <v>7.5764600806462329E-3</v>
      </c>
      <c r="D35" s="15"/>
      <c r="E35" s="8">
        <f>'[1]eWAT - GC Results (nmol g)'!E35/1000</f>
        <v>9.59148344440134E-3</v>
      </c>
      <c r="F35" s="8">
        <f>'[1]eWAT - GC Results (nmol g)'!F35/1000</f>
        <v>6.4781872949591455E-3</v>
      </c>
      <c r="G35" s="8">
        <f>'[1]eWAT - GC Results (nmol g)'!G35/1000</f>
        <v>1.3007105711704423E-2</v>
      </c>
      <c r="H35" s="8">
        <f>'[1]eWAT - GC Results (nmol g)'!H35/1000</f>
        <v>5.7194675542600448E-3</v>
      </c>
      <c r="I35" s="8">
        <f>'[1]eWAT - GC Results (nmol g)'!I35/1000</f>
        <v>5.7407579882670125E-3</v>
      </c>
      <c r="J35" s="8">
        <f>'[1]eWAT - GC Results (nmol g)'!J35/1000</f>
        <v>7.3676560882746517E-3</v>
      </c>
      <c r="K35" s="8">
        <f>'[1]eWAT - GC Results (nmol g)'!K35/1000</f>
        <v>8.3021667420958515E-3</v>
      </c>
      <c r="L35" s="8">
        <f>'[1]eWAT - GC Results (nmol g)'!L35/1000</f>
        <v>5.7476207281734115E-3</v>
      </c>
      <c r="M35" s="8"/>
      <c r="N35" s="8">
        <f>'[1]eWAT - GC Results (nmol g)'!N35/1000</f>
        <v>5.7592899214118512E-3</v>
      </c>
      <c r="O35" s="8">
        <f>'[1]eWAT - GC Results (nmol g)'!O35/1000</f>
        <v>1.16155236260586E-2</v>
      </c>
      <c r="P35" s="8">
        <f>'[1]eWAT - GC Results (nmol g)'!P35/1000</f>
        <v>5.5914949039020008E-3</v>
      </c>
      <c r="Q35" s="8">
        <f>'[1]eWAT - GC Results (nmol g)'!Q35/1000</f>
        <v>1.0143440489294477E-2</v>
      </c>
      <c r="R35" s="8">
        <f>'[1]eWAT - GC Results (nmol g)'!R35/1000</f>
        <v>3.181071045450744E-3</v>
      </c>
      <c r="S35" s="8">
        <f>'[1]eWAT - GC Results (nmol g)'!S35/1000</f>
        <v>9.3650572550947036E-3</v>
      </c>
      <c r="T35" s="8">
        <f>'[1]eWAT - GC Results (nmol g)'!T35/1000</f>
        <v>9.2524452569406977E-3</v>
      </c>
      <c r="U35" s="8">
        <f>'[1]eWAT - GC Results (nmol g)'!U35/1000</f>
        <v>5.6838915198545968E-3</v>
      </c>
      <c r="V35" s="8">
        <f>'[1]eWAT - GC Results (nmol g)'!V35/1000</f>
        <v>4.519606869570314E-3</v>
      </c>
      <c r="W35" s="8">
        <f>'[1]eWAT - GC Results (nmol g)'!W35/1000</f>
        <v>4.3857525300424246E-3</v>
      </c>
      <c r="X35" s="8"/>
      <c r="Y35" s="8">
        <f>'[1]eWAT - GC Results (nmol g)'!Y35/1000</f>
        <v>3.9053076427410897E-3</v>
      </c>
      <c r="Z35" s="8">
        <f>'[1]eWAT - GC Results (nmol g)'!Z35/1000</f>
        <v>9.7464255928819427E-3</v>
      </c>
      <c r="AA35" s="8">
        <f>'[1]eWAT - GC Results (nmol g)'!AA35/1000</f>
        <v>3.897493768267053E-3</v>
      </c>
      <c r="AB35" s="8">
        <f>'[1]eWAT - GC Results (nmol g)'!AB35/1000</f>
        <v>6.3132589923107002E-3</v>
      </c>
      <c r="AC35" s="15"/>
      <c r="AD35" s="8">
        <f>'[1]eWAT - GC Results (nmol g)'!AD35/1000</f>
        <v>3.4739759223564298E-3</v>
      </c>
      <c r="AE35" s="8">
        <f>'[1]eWAT - GC Results (nmol g)'!AE35/1000</f>
        <v>4.2089826314266141E-3</v>
      </c>
      <c r="AF35" s="8">
        <f>'[1]eWAT - GC Results (nmol g)'!AF35/1000</f>
        <v>7.7750282320103838E-3</v>
      </c>
      <c r="AG35" s="8">
        <f>'[1]eWAT - GC Results (nmol g)'!AG35/1000</f>
        <v>8.5950740881283582E-3</v>
      </c>
      <c r="AH35" s="8">
        <f>'[1]eWAT - GC Results (nmol g)'!AH35/1000</f>
        <v>3.2648329504128114E-3</v>
      </c>
      <c r="AI35" s="9"/>
      <c r="AJ35" s="9"/>
    </row>
    <row r="36" spans="1:36" x14ac:dyDescent="0.2">
      <c r="A36" t="s">
        <v>43</v>
      </c>
      <c r="C36" s="8">
        <f>'[1]eWAT - GC Results (nmol g)'!C36/1000</f>
        <v>9.515639347013205E-2</v>
      </c>
      <c r="D36" s="15"/>
      <c r="E36" s="8">
        <f>'[1]eWAT - GC Results (nmol g)'!E36/1000</f>
        <v>0.11259255650147942</v>
      </c>
      <c r="F36" s="8">
        <f>'[1]eWAT - GC Results (nmol g)'!F36/1000</f>
        <v>0.11614756788742918</v>
      </c>
      <c r="G36" s="8">
        <f>'[1]eWAT - GC Results (nmol g)'!G36/1000</f>
        <v>0.15995131738705587</v>
      </c>
      <c r="H36" s="8">
        <f>'[1]eWAT - GC Results (nmol g)'!H36/1000</f>
        <v>6.8412276717785742E-2</v>
      </c>
      <c r="I36" s="8">
        <f>'[1]eWAT - GC Results (nmol g)'!I36/1000</f>
        <v>0.12441165003339712</v>
      </c>
      <c r="J36" s="8">
        <f>'[1]eWAT - GC Results (nmol g)'!J36/1000</f>
        <v>0.10457579674730461</v>
      </c>
      <c r="K36" s="8">
        <f>'[1]eWAT - GC Results (nmol g)'!K36/1000</f>
        <v>0.10881162837542251</v>
      </c>
      <c r="L36" s="8">
        <f>'[1]eWAT - GC Results (nmol g)'!L36/1000</f>
        <v>7.101228198231381E-2</v>
      </c>
      <c r="M36" s="8"/>
      <c r="N36" s="8">
        <f>'[1]eWAT - GC Results (nmol g)'!N36/1000</f>
        <v>4.6313574329904961E-2</v>
      </c>
      <c r="O36" s="8">
        <f>'[1]eWAT - GC Results (nmol g)'!O36/1000</f>
        <v>0.12534426310215407</v>
      </c>
      <c r="P36" s="8">
        <f>'[1]eWAT - GC Results (nmol g)'!P36/1000</f>
        <v>0.10197652762591716</v>
      </c>
      <c r="Q36" s="8">
        <f>'[1]eWAT - GC Results (nmol g)'!Q36/1000</f>
        <v>7.9061273385499203E-2</v>
      </c>
      <c r="R36" s="8">
        <f>'[1]eWAT - GC Results (nmol g)'!R36/1000</f>
        <v>7.1623243243965878E-2</v>
      </c>
      <c r="S36" s="8">
        <f>'[1]eWAT - GC Results (nmol g)'!S36/1000</f>
        <v>7.4639305993085145E-2</v>
      </c>
      <c r="T36" s="8">
        <f>'[1]eWAT - GC Results (nmol g)'!T36/1000</f>
        <v>0.10471838971088181</v>
      </c>
      <c r="U36" s="8">
        <f>'[1]eWAT - GC Results (nmol g)'!U36/1000</f>
        <v>0.10954952908932453</v>
      </c>
      <c r="V36" s="8">
        <f>'[1]eWAT - GC Results (nmol g)'!V36/1000</f>
        <v>6.8792263798616263E-2</v>
      </c>
      <c r="W36" s="8">
        <f>'[1]eWAT - GC Results (nmol g)'!W36/1000</f>
        <v>6.3035980809546865E-2</v>
      </c>
      <c r="X36" s="8"/>
      <c r="Y36" s="8">
        <f>'[1]eWAT - GC Results (nmol g)'!Y36/1000</f>
        <v>4.4568503005332515E-2</v>
      </c>
      <c r="Z36" s="8">
        <f>'[1]eWAT - GC Results (nmol g)'!Z36/1000</f>
        <v>6.7488939318128743E-2</v>
      </c>
      <c r="AA36" s="8">
        <f>'[1]eWAT - GC Results (nmol g)'!AA36/1000</f>
        <v>5.9983734278330807E-2</v>
      </c>
      <c r="AB36" s="8">
        <f>'[1]eWAT - GC Results (nmol g)'!AB36/1000</f>
        <v>0.10216251232176699</v>
      </c>
      <c r="AC36" s="15"/>
      <c r="AD36" s="8">
        <f>'[1]eWAT - GC Results (nmol g)'!AD36/1000</f>
        <v>7.4992644638223027E-2</v>
      </c>
      <c r="AE36" s="8">
        <f>'[1]eWAT - GC Results (nmol g)'!AE36/1000</f>
        <v>7.5769789519622252E-2</v>
      </c>
      <c r="AF36" s="8">
        <f>'[1]eWAT - GC Results (nmol g)'!AF36/1000</f>
        <v>0.11276554584992596</v>
      </c>
      <c r="AG36" s="8">
        <f>'[1]eWAT - GC Results (nmol g)'!AG36/1000</f>
        <v>6.1567530899700164E-2</v>
      </c>
      <c r="AH36" s="8">
        <f>'[1]eWAT - GC Results (nmol g)'!AH36/1000</f>
        <v>5.5299239367878443E-2</v>
      </c>
      <c r="AI36" s="9"/>
      <c r="AJ36" s="9"/>
    </row>
    <row r="37" spans="1:36" x14ac:dyDescent="0.2">
      <c r="A37" t="s">
        <v>44</v>
      </c>
      <c r="C37" s="8">
        <f>'[1]eWAT - GC Results (nmol g)'!C37/1000</f>
        <v>1.0549082819891472E-2</v>
      </c>
      <c r="D37" s="15"/>
      <c r="E37" s="8">
        <f>'[1]eWAT - GC Results (nmol g)'!E37/1000</f>
        <v>2.2242718444689634E-2</v>
      </c>
      <c r="F37" s="8">
        <f>'[1]eWAT - GC Results (nmol g)'!F37/1000</f>
        <v>1.0493618262941018E-2</v>
      </c>
      <c r="G37" s="8">
        <f>'[1]eWAT - GC Results (nmol g)'!G37/1000</f>
        <v>1.1768324546213287E-2</v>
      </c>
      <c r="H37" s="8">
        <f>'[1]eWAT - GC Results (nmol g)'!H37/1000</f>
        <v>1.337117890146319E-2</v>
      </c>
      <c r="I37" s="8">
        <f>'[1]eWAT - GC Results (nmol g)'!I37/1000</f>
        <v>1.4913778847667135E-2</v>
      </c>
      <c r="J37" s="8">
        <f>'[1]eWAT - GC Results (nmol g)'!J37/1000</f>
        <v>9.3788070776750117E-3</v>
      </c>
      <c r="K37" s="8">
        <f>'[1]eWAT - GC Results (nmol g)'!K37/1000</f>
        <v>1.3352140929463869E-2</v>
      </c>
      <c r="L37" s="8">
        <f>'[1]eWAT - GC Results (nmol g)'!L37/1000</f>
        <v>1.2596731686035841E-2</v>
      </c>
      <c r="M37" s="8"/>
      <c r="N37" s="8">
        <f>'[1]eWAT - GC Results (nmol g)'!N37/1000</f>
        <v>1.4329106255632697E-2</v>
      </c>
      <c r="O37" s="8">
        <f>'[1]eWAT - GC Results (nmol g)'!O37/1000</f>
        <v>2.1005462834131693E-2</v>
      </c>
      <c r="P37" s="8">
        <f>'[1]eWAT - GC Results (nmol g)'!P37/1000</f>
        <v>1.2349150868747417E-2</v>
      </c>
      <c r="Q37" s="8">
        <f>'[1]eWAT - GC Results (nmol g)'!Q37/1000</f>
        <v>1.3170357158654493E-2</v>
      </c>
      <c r="R37" s="8">
        <f>'[1]eWAT - GC Results (nmol g)'!R37/1000</f>
        <v>1.19536813604021E-2</v>
      </c>
      <c r="S37" s="8">
        <f>'[1]eWAT - GC Results (nmol g)'!S37/1000</f>
        <v>2.5846868520729847E-2</v>
      </c>
      <c r="T37" s="8">
        <f>'[1]eWAT - GC Results (nmol g)'!T37/1000</f>
        <v>7.239747433597829E-3</v>
      </c>
      <c r="U37" s="8">
        <f>'[1]eWAT - GC Results (nmol g)'!U37/1000</f>
        <v>8.3490529038481014E-3</v>
      </c>
      <c r="V37" s="8">
        <f>'[1]eWAT - GC Results (nmol g)'!V37/1000</f>
        <v>1.2921833434540808E-2</v>
      </c>
      <c r="W37" s="8">
        <f>'[1]eWAT - GC Results (nmol g)'!W37/1000</f>
        <v>6.8181644446304859E-3</v>
      </c>
      <c r="X37" s="8"/>
      <c r="Y37" s="8">
        <f>'[1]eWAT - GC Results (nmol g)'!Y37/1000</f>
        <v>1.1623563922225607E-2</v>
      </c>
      <c r="Z37" s="8">
        <f>'[1]eWAT - GC Results (nmol g)'!Z37/1000</f>
        <v>2.189118686780098E-2</v>
      </c>
      <c r="AA37" s="8">
        <f>'[1]eWAT - GC Results (nmol g)'!AA37/1000</f>
        <v>1.0090631982262453E-2</v>
      </c>
      <c r="AB37" s="8">
        <f>'[1]eWAT - GC Results (nmol g)'!AB37/1000</f>
        <v>2.0321344132148384E-2</v>
      </c>
      <c r="AC37" s="15"/>
      <c r="AD37" s="8">
        <f>'[1]eWAT - GC Results (nmol g)'!AD37/1000</f>
        <v>6.1799987009594536E-3</v>
      </c>
      <c r="AE37" s="8">
        <f>'[1]eWAT - GC Results (nmol g)'!AE37/1000</f>
        <v>8.1724478556408717E-3</v>
      </c>
      <c r="AF37" s="8">
        <f>'[1]eWAT - GC Results (nmol g)'!AF37/1000</f>
        <v>1.4769411784040579E-2</v>
      </c>
      <c r="AG37" s="8">
        <f>'[1]eWAT - GC Results (nmol g)'!AG37/1000</f>
        <v>1.8468447783725403E-2</v>
      </c>
      <c r="AH37" s="8">
        <f>'[1]eWAT - GC Results (nmol g)'!AH37/1000</f>
        <v>1.2921278061746809E-2</v>
      </c>
      <c r="AI37" s="9"/>
      <c r="AJ37" s="9"/>
    </row>
    <row r="38" spans="1:36" x14ac:dyDescent="0.2">
      <c r="A38" t="s">
        <v>45</v>
      </c>
      <c r="C38" s="8">
        <f>'[1]eWAT - GC Results (nmol g)'!C38/1000</f>
        <v>0</v>
      </c>
      <c r="D38" s="15"/>
      <c r="E38" s="8">
        <f>'[1]eWAT - GC Results (nmol g)'!E38/1000</f>
        <v>0</v>
      </c>
      <c r="F38" s="8">
        <f>'[1]eWAT - GC Results (nmol g)'!F38/1000</f>
        <v>0</v>
      </c>
      <c r="G38" s="8">
        <f>'[1]eWAT - GC Results (nmol g)'!G38/1000</f>
        <v>0</v>
      </c>
      <c r="H38" s="8">
        <f>'[1]eWAT - GC Results (nmol g)'!H38/1000</f>
        <v>0</v>
      </c>
      <c r="I38" s="8">
        <f>'[1]eWAT - GC Results (nmol g)'!I38/1000</f>
        <v>0</v>
      </c>
      <c r="J38" s="8">
        <f>'[1]eWAT - GC Results (nmol g)'!J38/1000</f>
        <v>0</v>
      </c>
      <c r="K38" s="8">
        <f>'[1]eWAT - GC Results (nmol g)'!K38/1000</f>
        <v>0</v>
      </c>
      <c r="L38" s="8">
        <f>'[1]eWAT - GC Results (nmol g)'!L38/1000</f>
        <v>0</v>
      </c>
      <c r="M38" s="8"/>
      <c r="N38" s="8">
        <f>'[1]eWAT - GC Results (nmol g)'!N38/1000</f>
        <v>0</v>
      </c>
      <c r="O38" s="8">
        <f>'[1]eWAT - GC Results (nmol g)'!O38/1000</f>
        <v>0</v>
      </c>
      <c r="P38" s="8">
        <f>'[1]eWAT - GC Results (nmol g)'!P38/1000</f>
        <v>0</v>
      </c>
      <c r="Q38" s="8">
        <f>'[1]eWAT - GC Results (nmol g)'!Q38/1000</f>
        <v>0</v>
      </c>
      <c r="R38" s="8">
        <f>'[1]eWAT - GC Results (nmol g)'!R38/1000</f>
        <v>0</v>
      </c>
      <c r="S38" s="8">
        <f>'[1]eWAT - GC Results (nmol g)'!S38/1000</f>
        <v>0</v>
      </c>
      <c r="T38" s="8">
        <f>'[1]eWAT - GC Results (nmol g)'!T38/1000</f>
        <v>0</v>
      </c>
      <c r="U38" s="8">
        <f>'[1]eWAT - GC Results (nmol g)'!U38/1000</f>
        <v>0</v>
      </c>
      <c r="V38" s="8">
        <f>'[1]eWAT - GC Results (nmol g)'!V38/1000</f>
        <v>0</v>
      </c>
      <c r="W38" s="8">
        <f>'[1]eWAT - GC Results (nmol g)'!W38/1000</f>
        <v>0</v>
      </c>
      <c r="X38" s="8"/>
      <c r="Y38" s="8">
        <f>'[1]eWAT - GC Results (nmol g)'!Y38/1000</f>
        <v>0</v>
      </c>
      <c r="Z38" s="8">
        <f>'[1]eWAT - GC Results (nmol g)'!Z38/1000</f>
        <v>0</v>
      </c>
      <c r="AA38" s="8">
        <f>'[1]eWAT - GC Results (nmol g)'!AA38/1000</f>
        <v>0</v>
      </c>
      <c r="AB38" s="8">
        <f>'[1]eWAT - GC Results (nmol g)'!AB38/1000</f>
        <v>0</v>
      </c>
      <c r="AC38" s="15"/>
      <c r="AD38" s="8">
        <f>'[1]eWAT - GC Results (nmol g)'!AD38/1000</f>
        <v>0</v>
      </c>
      <c r="AE38" s="8">
        <f>'[1]eWAT - GC Results (nmol g)'!AE38/1000</f>
        <v>0</v>
      </c>
      <c r="AF38" s="8">
        <f>'[1]eWAT - GC Results (nmol g)'!AF38/1000</f>
        <v>0</v>
      </c>
      <c r="AG38" s="8">
        <f>'[1]eWAT - GC Results (nmol g)'!AG38/1000</f>
        <v>0</v>
      </c>
      <c r="AH38" s="8">
        <f>'[1]eWAT - GC Results (nmol g)'!AH38/1000</f>
        <v>0</v>
      </c>
      <c r="AI38" s="9"/>
      <c r="AJ38" s="9"/>
    </row>
    <row r="39" spans="1:36" x14ac:dyDescent="0.2">
      <c r="A39" t="s">
        <v>46</v>
      </c>
      <c r="C39" s="8">
        <f>'[1]eWAT - GC Results (nmol g)'!C39/1000</f>
        <v>0</v>
      </c>
      <c r="D39" s="15"/>
      <c r="E39" s="8">
        <f>'[1]eWAT - GC Results (nmol g)'!E39/1000</f>
        <v>0</v>
      </c>
      <c r="F39" s="8">
        <f>'[1]eWAT - GC Results (nmol g)'!F39/1000</f>
        <v>0</v>
      </c>
      <c r="G39" s="8">
        <f>'[1]eWAT - GC Results (nmol g)'!G39/1000</f>
        <v>0</v>
      </c>
      <c r="H39" s="8">
        <f>'[1]eWAT - GC Results (nmol g)'!H39/1000</f>
        <v>0</v>
      </c>
      <c r="I39" s="8">
        <f>'[1]eWAT - GC Results (nmol g)'!I39/1000</f>
        <v>0</v>
      </c>
      <c r="J39" s="8">
        <f>'[1]eWAT - GC Results (nmol g)'!J39/1000</f>
        <v>0</v>
      </c>
      <c r="K39" s="8">
        <f>'[1]eWAT - GC Results (nmol g)'!K39/1000</f>
        <v>0</v>
      </c>
      <c r="L39" s="8">
        <f>'[1]eWAT - GC Results (nmol g)'!L39/1000</f>
        <v>0</v>
      </c>
      <c r="M39" s="8"/>
      <c r="N39" s="8">
        <f>'[1]eWAT - GC Results (nmol g)'!N39/1000</f>
        <v>0</v>
      </c>
      <c r="O39" s="8">
        <f>'[1]eWAT - GC Results (nmol g)'!O39/1000</f>
        <v>0</v>
      </c>
      <c r="P39" s="8">
        <f>'[1]eWAT - GC Results (nmol g)'!P39/1000</f>
        <v>0</v>
      </c>
      <c r="Q39" s="8">
        <f>'[1]eWAT - GC Results (nmol g)'!Q39/1000</f>
        <v>0</v>
      </c>
      <c r="R39" s="8">
        <f>'[1]eWAT - GC Results (nmol g)'!R39/1000</f>
        <v>0</v>
      </c>
      <c r="S39" s="8">
        <f>'[1]eWAT - GC Results (nmol g)'!S39/1000</f>
        <v>0</v>
      </c>
      <c r="T39" s="8">
        <f>'[1]eWAT - GC Results (nmol g)'!T39/1000</f>
        <v>0</v>
      </c>
      <c r="U39" s="8">
        <f>'[1]eWAT - GC Results (nmol g)'!U39/1000</f>
        <v>0</v>
      </c>
      <c r="V39" s="8">
        <f>'[1]eWAT - GC Results (nmol g)'!V39/1000</f>
        <v>0</v>
      </c>
      <c r="W39" s="8">
        <f>'[1]eWAT - GC Results (nmol g)'!W39/1000</f>
        <v>0</v>
      </c>
      <c r="X39" s="8"/>
      <c r="Y39" s="8">
        <f>'[1]eWAT - GC Results (nmol g)'!Y39/1000</f>
        <v>0</v>
      </c>
      <c r="Z39" s="8">
        <f>'[1]eWAT - GC Results (nmol g)'!Z39/1000</f>
        <v>0</v>
      </c>
      <c r="AA39" s="8">
        <f>'[1]eWAT - GC Results (nmol g)'!AA39/1000</f>
        <v>0</v>
      </c>
      <c r="AB39" s="8">
        <f>'[1]eWAT - GC Results (nmol g)'!AB39/1000</f>
        <v>0</v>
      </c>
      <c r="AC39" s="15"/>
      <c r="AD39" s="8">
        <f>'[1]eWAT - GC Results (nmol g)'!AD39/1000</f>
        <v>0</v>
      </c>
      <c r="AE39" s="8">
        <f>'[1]eWAT - GC Results (nmol g)'!AE39/1000</f>
        <v>0</v>
      </c>
      <c r="AF39" s="8">
        <f>'[1]eWAT - GC Results (nmol g)'!AF39/1000</f>
        <v>0</v>
      </c>
      <c r="AG39" s="8">
        <f>'[1]eWAT - GC Results (nmol g)'!AG39/1000</f>
        <v>0</v>
      </c>
      <c r="AH39" s="8">
        <f>'[1]eWAT - GC Results (nmol g)'!AH39/1000</f>
        <v>0</v>
      </c>
      <c r="AI39" s="9"/>
      <c r="AJ39" s="9"/>
    </row>
    <row r="40" spans="1:36" x14ac:dyDescent="0.2">
      <c r="A40" t="s">
        <v>47</v>
      </c>
      <c r="C40" s="8">
        <f>'[1]eWAT - GC Results (nmol g)'!C40/1000</f>
        <v>2.452957121269048E-2</v>
      </c>
      <c r="D40" s="15"/>
      <c r="E40" s="8">
        <f>'[1]eWAT - GC Results (nmol g)'!E40/1000</f>
        <v>2.6371484411880138E-2</v>
      </c>
      <c r="F40" s="8">
        <f>'[1]eWAT - GC Results (nmol g)'!F40/1000</f>
        <v>2.339452608890543E-2</v>
      </c>
      <c r="G40" s="8">
        <f>'[1]eWAT - GC Results (nmol g)'!G40/1000</f>
        <v>4.000346858210805E-2</v>
      </c>
      <c r="H40" s="8">
        <f>'[1]eWAT - GC Results (nmol g)'!H40/1000</f>
        <v>2.5552883414354514E-2</v>
      </c>
      <c r="I40" s="8">
        <f>'[1]eWAT - GC Results (nmol g)'!I40/1000</f>
        <v>2.8451442421672621E-2</v>
      </c>
      <c r="J40" s="8">
        <f>'[1]eWAT - GC Results (nmol g)'!J40/1000</f>
        <v>2.1024293810459425E-2</v>
      </c>
      <c r="K40" s="8">
        <f>'[1]eWAT - GC Results (nmol g)'!K40/1000</f>
        <v>2.4596547697195801E-2</v>
      </c>
      <c r="L40" s="8">
        <f>'[1]eWAT - GC Results (nmol g)'!L40/1000</f>
        <v>1.7660465264796674E-2</v>
      </c>
      <c r="M40" s="8"/>
      <c r="N40" s="8">
        <f>'[1]eWAT - GC Results (nmol g)'!N40/1000</f>
        <v>1.9821454300227803E-2</v>
      </c>
      <c r="O40" s="8">
        <f>'[1]eWAT - GC Results (nmol g)'!O40/1000</f>
        <v>4.3662682190155865E-2</v>
      </c>
      <c r="P40" s="8">
        <f>'[1]eWAT - GC Results (nmol g)'!P40/1000</f>
        <v>2.8229768529797819E-2</v>
      </c>
      <c r="Q40" s="8">
        <f>'[1]eWAT - GC Results (nmol g)'!Q40/1000</f>
        <v>2.7794111934073933E-2</v>
      </c>
      <c r="R40" s="8">
        <f>'[1]eWAT - GC Results (nmol g)'!R40/1000</f>
        <v>3.4215687468826132E-2</v>
      </c>
      <c r="S40" s="8">
        <f>'[1]eWAT - GC Results (nmol g)'!S40/1000</f>
        <v>3.0328100054355E-2</v>
      </c>
      <c r="T40" s="8">
        <f>'[1]eWAT - GC Results (nmol g)'!T40/1000</f>
        <v>3.6429943722459231E-2</v>
      </c>
      <c r="U40" s="8">
        <f>'[1]eWAT - GC Results (nmol g)'!U40/1000</f>
        <v>2.9506366028099348E-2</v>
      </c>
      <c r="V40" s="8">
        <f>'[1]eWAT - GC Results (nmol g)'!V40/1000</f>
        <v>2.7395741005910444E-2</v>
      </c>
      <c r="W40" s="8">
        <f>'[1]eWAT - GC Results (nmol g)'!W40/1000</f>
        <v>2.7830472942847982E-2</v>
      </c>
      <c r="X40" s="8"/>
      <c r="Y40" s="8">
        <f>'[1]eWAT - GC Results (nmol g)'!Y40/1000</f>
        <v>1.9187746877157432E-2</v>
      </c>
      <c r="Z40" s="8">
        <f>'[1]eWAT - GC Results (nmol g)'!Z40/1000</f>
        <v>3.7334394544598533E-2</v>
      </c>
      <c r="AA40" s="8">
        <f>'[1]eWAT - GC Results (nmol g)'!AA40/1000</f>
        <v>3.1379842400630166E-2</v>
      </c>
      <c r="AB40" s="8">
        <f>'[1]eWAT - GC Results (nmol g)'!AB40/1000</f>
        <v>2.9959059447580885E-2</v>
      </c>
      <c r="AC40" s="15"/>
      <c r="AD40" s="8">
        <f>'[1]eWAT - GC Results (nmol g)'!AD40/1000</f>
        <v>2.7671993802416084E-2</v>
      </c>
      <c r="AE40" s="8">
        <f>'[1]eWAT - GC Results (nmol g)'!AE40/1000</f>
        <v>2.7526621924737024E-2</v>
      </c>
      <c r="AF40" s="8">
        <f>'[1]eWAT - GC Results (nmol g)'!AF40/1000</f>
        <v>3.8889269510302811E-2</v>
      </c>
      <c r="AG40" s="8">
        <f>'[1]eWAT - GC Results (nmol g)'!AG40/1000</f>
        <v>3.3443675829639169E-2</v>
      </c>
      <c r="AH40" s="8">
        <f>'[1]eWAT - GC Results (nmol g)'!AH40/1000</f>
        <v>2.7322041894566992E-2</v>
      </c>
      <c r="AI40" s="9"/>
      <c r="AJ40" s="9"/>
    </row>
    <row r="41" spans="1:36" x14ac:dyDescent="0.2">
      <c r="A41" s="3"/>
      <c r="B41" s="3"/>
      <c r="C41" s="8"/>
      <c r="D41" s="15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5"/>
      <c r="AD41" s="8"/>
      <c r="AE41" s="8"/>
      <c r="AF41" s="8"/>
      <c r="AG41" s="8"/>
      <c r="AH41" s="8"/>
      <c r="AI41" s="9"/>
      <c r="AJ41" s="9"/>
    </row>
    <row r="42" spans="1:36" x14ac:dyDescent="0.2">
      <c r="A42" s="10" t="s">
        <v>48</v>
      </c>
      <c r="B42" s="3"/>
      <c r="C42" s="11">
        <f>SUM(C26:C40)</f>
        <v>12.488701093896749</v>
      </c>
      <c r="D42" s="16"/>
      <c r="E42" s="11">
        <f t="shared" ref="D42:AH42" si="1">SUM(E26:E40)</f>
        <v>16.600949898420762</v>
      </c>
      <c r="F42" s="11">
        <f t="shared" si="1"/>
        <v>15.817084133677701</v>
      </c>
      <c r="G42" s="11">
        <f t="shared" si="1"/>
        <v>16.921709772866087</v>
      </c>
      <c r="H42" s="11">
        <f t="shared" si="1"/>
        <v>9.9009892103454487</v>
      </c>
      <c r="I42" s="11">
        <f t="shared" si="1"/>
        <v>16.688527401091044</v>
      </c>
      <c r="J42" s="11">
        <f t="shared" si="1"/>
        <v>15.408837477775204</v>
      </c>
      <c r="K42" s="11">
        <f t="shared" si="1"/>
        <v>15.58398513447337</v>
      </c>
      <c r="L42" s="11">
        <f t="shared" si="1"/>
        <v>10.398959298033946</v>
      </c>
      <c r="M42" s="11"/>
      <c r="N42" s="11">
        <f t="shared" si="1"/>
        <v>8.8822552589552206</v>
      </c>
      <c r="O42" s="11">
        <f t="shared" si="1"/>
        <v>13.427481850748212</v>
      </c>
      <c r="P42" s="11">
        <f t="shared" si="1"/>
        <v>8.5075637699066071</v>
      </c>
      <c r="Q42" s="11">
        <f t="shared" si="1"/>
        <v>14.709390940872554</v>
      </c>
      <c r="R42" s="11">
        <f t="shared" si="1"/>
        <v>9.9389456172220623</v>
      </c>
      <c r="S42" s="11">
        <f t="shared" si="1"/>
        <v>13.892597474814099</v>
      </c>
      <c r="T42" s="11">
        <f t="shared" si="1"/>
        <v>11.193753257716669</v>
      </c>
      <c r="U42" s="11">
        <f t="shared" si="1"/>
        <v>11.981615657853043</v>
      </c>
      <c r="V42" s="11">
        <f t="shared" si="1"/>
        <v>10.582535508353835</v>
      </c>
      <c r="W42" s="11">
        <f t="shared" si="1"/>
        <v>9.2610505230968432</v>
      </c>
      <c r="X42" s="11"/>
      <c r="Y42" s="11">
        <f t="shared" si="1"/>
        <v>9.4826526209767721</v>
      </c>
      <c r="Z42" s="11">
        <f t="shared" si="1"/>
        <v>11.853954223418807</v>
      </c>
      <c r="AA42" s="11">
        <f t="shared" si="1"/>
        <v>10.901579913256118</v>
      </c>
      <c r="AB42" s="11">
        <f t="shared" si="1"/>
        <v>12.663241545688507</v>
      </c>
      <c r="AC42" s="16"/>
      <c r="AD42" s="11">
        <f t="shared" si="1"/>
        <v>13.375198766377951</v>
      </c>
      <c r="AE42" s="11">
        <f t="shared" si="1"/>
        <v>12.42615992970034</v>
      </c>
      <c r="AF42" s="11">
        <f t="shared" si="1"/>
        <v>17.69200367832617</v>
      </c>
      <c r="AG42" s="11">
        <f t="shared" si="1"/>
        <v>10.899788624542476</v>
      </c>
      <c r="AH42" s="11">
        <f t="shared" si="1"/>
        <v>10.664246575800128</v>
      </c>
      <c r="AI42" s="11"/>
      <c r="AJ42" s="11"/>
    </row>
    <row r="43" spans="1:36" x14ac:dyDescent="0.2">
      <c r="A43" s="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spans="1:36" x14ac:dyDescent="0.2">
      <c r="A44" s="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3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6" spans="1:36" ht="16" x14ac:dyDescent="0.2">
      <c r="A46" s="2" t="s">
        <v>51</v>
      </c>
      <c r="B46" s="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 x14ac:dyDescent="0.2">
      <c r="A47" s="4" t="s">
        <v>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5" t="s">
        <v>11</v>
      </c>
      <c r="L47" s="5" t="s">
        <v>12</v>
      </c>
      <c r="M47" s="5"/>
      <c r="N47" s="5" t="s">
        <v>13</v>
      </c>
      <c r="O47" s="5" t="s">
        <v>14</v>
      </c>
      <c r="P47" s="5" t="s">
        <v>15</v>
      </c>
      <c r="Q47" s="5" t="s">
        <v>16</v>
      </c>
      <c r="R47" s="5" t="s">
        <v>17</v>
      </c>
      <c r="S47" s="5" t="s">
        <v>18</v>
      </c>
      <c r="T47" s="5" t="s">
        <v>19</v>
      </c>
      <c r="U47" s="5" t="s">
        <v>20</v>
      </c>
      <c r="V47" s="5" t="s">
        <v>21</v>
      </c>
      <c r="W47" s="5" t="s">
        <v>22</v>
      </c>
      <c r="X47" s="5"/>
      <c r="Y47" s="5" t="s">
        <v>23</v>
      </c>
      <c r="Z47" s="5" t="s">
        <v>24</v>
      </c>
      <c r="AA47" s="5" t="s">
        <v>25</v>
      </c>
      <c r="AB47" s="5" t="s">
        <v>26</v>
      </c>
      <c r="AC47" s="5" t="s">
        <v>27</v>
      </c>
      <c r="AD47" s="5" t="s">
        <v>28</v>
      </c>
      <c r="AE47" s="5" t="s">
        <v>29</v>
      </c>
      <c r="AF47" s="5" t="s">
        <v>30</v>
      </c>
      <c r="AG47" s="5" t="s">
        <v>31</v>
      </c>
      <c r="AH47" s="5" t="s">
        <v>32</v>
      </c>
      <c r="AI47" s="7"/>
      <c r="AJ47" s="7"/>
    </row>
    <row r="48" spans="1:36" x14ac:dyDescent="0.2">
      <c r="A48" t="s">
        <v>33</v>
      </c>
      <c r="C48" s="8">
        <f>'[1]eWAT - GC Results (nmol g)'!C48/1000</f>
        <v>15.715007306081514</v>
      </c>
      <c r="D48" s="8">
        <f>'[1]eWAT - GC Results (nmol g)'!D48/1000</f>
        <v>20.041788429548554</v>
      </c>
      <c r="E48" s="8">
        <f>'[1]eWAT - GC Results (nmol g)'!E48/1000</f>
        <v>23.918008716041182</v>
      </c>
      <c r="F48" s="8">
        <f>'[1]eWAT - GC Results (nmol g)'!F48/1000</f>
        <v>18.835683298587892</v>
      </c>
      <c r="G48" s="8">
        <f>'[1]eWAT - GC Results (nmol g)'!G48/1000</f>
        <v>22.812291516022082</v>
      </c>
      <c r="H48" s="8">
        <f>'[1]eWAT - GC Results (nmol g)'!H48/1000</f>
        <v>23.478333467223599</v>
      </c>
      <c r="I48" s="8">
        <f>'[1]eWAT - GC Results (nmol g)'!I48/1000</f>
        <v>21.244677971303748</v>
      </c>
      <c r="J48" s="8">
        <f>'[1]eWAT - GC Results (nmol g)'!J48/1000</f>
        <v>17.457412995183841</v>
      </c>
      <c r="K48" s="8">
        <f>'[1]eWAT - GC Results (nmol g)'!K48/1000</f>
        <v>14.924090009730163</v>
      </c>
      <c r="L48" s="8">
        <f>'[1]eWAT - GC Results (nmol g)'!L48/1000</f>
        <v>18.834407885642371</v>
      </c>
      <c r="M48" s="8"/>
      <c r="N48" s="8">
        <f>'[1]eWAT - GC Results (nmol g)'!N48/1000</f>
        <v>22.704522531930476</v>
      </c>
      <c r="O48" s="8">
        <f>'[1]eWAT - GC Results (nmol g)'!O48/1000</f>
        <v>30.228622033891444</v>
      </c>
      <c r="P48" s="8">
        <f>'[1]eWAT - GC Results (nmol g)'!P48/1000</f>
        <v>26.080327922864097</v>
      </c>
      <c r="Q48" s="8">
        <f>'[1]eWAT - GC Results (nmol g)'!Q48/1000</f>
        <v>25.38124071474817</v>
      </c>
      <c r="R48" s="8">
        <f>'[1]eWAT - GC Results (nmol g)'!R48/1000</f>
        <v>22.640367962195644</v>
      </c>
      <c r="S48" s="8">
        <f>'[1]eWAT - GC Results (nmol g)'!S48/1000</f>
        <v>34.102579672445444</v>
      </c>
      <c r="T48" s="8">
        <f>'[1]eWAT - GC Results (nmol g)'!T48/1000</f>
        <v>17.928567537957104</v>
      </c>
      <c r="U48" s="8">
        <f>'[1]eWAT - GC Results (nmol g)'!U48/1000</f>
        <v>17.243481782492555</v>
      </c>
      <c r="V48" s="8">
        <f>'[1]eWAT - GC Results (nmol g)'!V48/1000</f>
        <v>22.260318488908283</v>
      </c>
      <c r="W48" s="8">
        <f>'[1]eWAT - GC Results (nmol g)'!W48/1000</f>
        <v>17.580928448414831</v>
      </c>
      <c r="X48" s="8"/>
      <c r="Y48" s="8">
        <f>'[1]eWAT - GC Results (nmol g)'!Y48/1000</f>
        <v>20.959009467068391</v>
      </c>
      <c r="Z48" s="8">
        <f>'[1]eWAT - GC Results (nmol g)'!Z48/1000</f>
        <v>25.519190634354025</v>
      </c>
      <c r="AA48" s="8">
        <f>'[1]eWAT - GC Results (nmol g)'!AA48/1000</f>
        <v>18.060264873757486</v>
      </c>
      <c r="AB48" s="8">
        <f>'[1]eWAT - GC Results (nmol g)'!AB48/1000</f>
        <v>19.876207880944431</v>
      </c>
      <c r="AC48" s="8">
        <f>'[1]eWAT - GC Results (nmol g)'!AC48/1000</f>
        <v>26.291861632301316</v>
      </c>
      <c r="AD48" s="8">
        <f>'[1]eWAT - GC Results (nmol g)'!AD48/1000</f>
        <v>17.076859880943161</v>
      </c>
      <c r="AE48" s="8">
        <f>'[1]eWAT - GC Results (nmol g)'!AE48/1000</f>
        <v>20.509209585826547</v>
      </c>
      <c r="AF48" s="8">
        <f>'[1]eWAT - GC Results (nmol g)'!AF48/1000</f>
        <v>30.395256483339921</v>
      </c>
      <c r="AG48" s="8">
        <f>'[1]eWAT - GC Results (nmol g)'!AG48/1000</f>
        <v>34.57696286163803</v>
      </c>
      <c r="AH48" s="8">
        <f>'[1]eWAT - GC Results (nmol g)'!AH48/1000</f>
        <v>30.719143040715295</v>
      </c>
      <c r="AI48" s="9"/>
      <c r="AJ48" s="9"/>
    </row>
    <row r="49" spans="1:36" x14ac:dyDescent="0.2">
      <c r="A49" t="s">
        <v>35</v>
      </c>
      <c r="C49" s="8">
        <f>'[1]eWAT - GC Results (nmol g)'!C49/1000</f>
        <v>379.53925054699016</v>
      </c>
      <c r="D49" s="8">
        <f>'[1]eWAT - GC Results (nmol g)'!D49/1000</f>
        <v>420.74984513248182</v>
      </c>
      <c r="E49" s="8">
        <f>'[1]eWAT - GC Results (nmol g)'!E49/1000</f>
        <v>562.82420068118836</v>
      </c>
      <c r="F49" s="8">
        <f>'[1]eWAT - GC Results (nmol g)'!F49/1000</f>
        <v>417.61054333143255</v>
      </c>
      <c r="G49" s="8">
        <f>'[1]eWAT - GC Results (nmol g)'!G49/1000</f>
        <v>463.30715646535589</v>
      </c>
      <c r="H49" s="8">
        <f>'[1]eWAT - GC Results (nmol g)'!H49/1000</f>
        <v>497.95386092928976</v>
      </c>
      <c r="I49" s="8">
        <f>'[1]eWAT - GC Results (nmol g)'!I49/1000</f>
        <v>492.99824940377994</v>
      </c>
      <c r="J49" s="8">
        <f>'[1]eWAT - GC Results (nmol g)'!J49/1000</f>
        <v>399.96953463049238</v>
      </c>
      <c r="K49" s="8">
        <f>'[1]eWAT - GC Results (nmol g)'!K49/1000</f>
        <v>411.94262264017817</v>
      </c>
      <c r="L49" s="8">
        <f>'[1]eWAT - GC Results (nmol g)'!L49/1000</f>
        <v>442.41518846499639</v>
      </c>
      <c r="M49" s="8"/>
      <c r="N49" s="8">
        <f>'[1]eWAT - GC Results (nmol g)'!N49/1000</f>
        <v>463.42456544515488</v>
      </c>
      <c r="O49" s="8">
        <f>'[1]eWAT - GC Results (nmol g)'!O49/1000</f>
        <v>521.71323087690655</v>
      </c>
      <c r="P49" s="8">
        <f>'[1]eWAT - GC Results (nmol g)'!P49/1000</f>
        <v>389.53532674088899</v>
      </c>
      <c r="Q49" s="8">
        <f>'[1]eWAT - GC Results (nmol g)'!Q49/1000</f>
        <v>525.07451435725636</v>
      </c>
      <c r="R49" s="8">
        <f>'[1]eWAT - GC Results (nmol g)'!R49/1000</f>
        <v>431.6582098391392</v>
      </c>
      <c r="S49" s="8">
        <f>'[1]eWAT - GC Results (nmol g)'!S49/1000</f>
        <v>667.55917402378316</v>
      </c>
      <c r="T49" s="8">
        <f>'[1]eWAT - GC Results (nmol g)'!T49/1000</f>
        <v>347.05884243367973</v>
      </c>
      <c r="U49" s="8">
        <f>'[1]eWAT - GC Results (nmol g)'!U49/1000</f>
        <v>368.6190401081937</v>
      </c>
      <c r="V49" s="8">
        <f>'[1]eWAT - GC Results (nmol g)'!V49/1000</f>
        <v>427.8650631792222</v>
      </c>
      <c r="W49" s="8">
        <f>'[1]eWAT - GC Results (nmol g)'!W49/1000</f>
        <v>333.26889558267652</v>
      </c>
      <c r="X49" s="8"/>
      <c r="Y49" s="8">
        <f>'[1]eWAT - GC Results (nmol g)'!Y49/1000</f>
        <v>406.54935590730759</v>
      </c>
      <c r="Z49" s="8">
        <f>'[1]eWAT - GC Results (nmol g)'!Z49/1000</f>
        <v>509.24521353554661</v>
      </c>
      <c r="AA49" s="8">
        <f>'[1]eWAT - GC Results (nmol g)'!AA49/1000</f>
        <v>364.80731052876428</v>
      </c>
      <c r="AB49" s="8">
        <f>'[1]eWAT - GC Results (nmol g)'!AB49/1000</f>
        <v>436.50310772445397</v>
      </c>
      <c r="AC49" s="8">
        <f>'[1]eWAT - GC Results (nmol g)'!AC49/1000</f>
        <v>530.15831765535324</v>
      </c>
      <c r="AD49" s="8">
        <f>'[1]eWAT - GC Results (nmol g)'!AD49/1000</f>
        <v>353.45677301040416</v>
      </c>
      <c r="AE49" s="8">
        <f>'[1]eWAT - GC Results (nmol g)'!AE49/1000</f>
        <v>442.69640272825814</v>
      </c>
      <c r="AF49" s="8">
        <f>'[1]eWAT - GC Results (nmol g)'!AF49/1000</f>
        <v>633.88336886147044</v>
      </c>
      <c r="AG49" s="8">
        <f>'[1]eWAT - GC Results (nmol g)'!AG49/1000</f>
        <v>666.41650829598404</v>
      </c>
      <c r="AH49" s="8">
        <f>'[1]eWAT - GC Results (nmol g)'!AH49/1000</f>
        <v>569.06899163055016</v>
      </c>
      <c r="AI49" s="9"/>
      <c r="AJ49" s="9"/>
    </row>
    <row r="50" spans="1:36" x14ac:dyDescent="0.2">
      <c r="A50" t="s">
        <v>36</v>
      </c>
      <c r="C50" s="8">
        <f>'[1]eWAT - GC Results (nmol g)'!C50/1000</f>
        <v>83.507038866719782</v>
      </c>
      <c r="D50" s="8">
        <f>'[1]eWAT - GC Results (nmol g)'!D50/1000</f>
        <v>88.6850464982018</v>
      </c>
      <c r="E50" s="8">
        <f>'[1]eWAT - GC Results (nmol g)'!E50/1000</f>
        <v>123.01632394944305</v>
      </c>
      <c r="F50" s="8">
        <f>'[1]eWAT - GC Results (nmol g)'!F50/1000</f>
        <v>73.542099012712484</v>
      </c>
      <c r="G50" s="8">
        <f>'[1]eWAT - GC Results (nmol g)'!G50/1000</f>
        <v>113.94757202304518</v>
      </c>
      <c r="H50" s="8">
        <f>'[1]eWAT - GC Results (nmol g)'!H50/1000</f>
        <v>106.98268904758956</v>
      </c>
      <c r="I50" s="8">
        <f>'[1]eWAT - GC Results (nmol g)'!I50/1000</f>
        <v>104.45463687695346</v>
      </c>
      <c r="J50" s="8">
        <f>'[1]eWAT - GC Results (nmol g)'!J50/1000</f>
        <v>76.377489938879876</v>
      </c>
      <c r="K50" s="8">
        <f>'[1]eWAT - GC Results (nmol g)'!K50/1000</f>
        <v>81.310247660147724</v>
      </c>
      <c r="L50" s="8">
        <f>'[1]eWAT - GC Results (nmol g)'!L50/1000</f>
        <v>98.986671727041738</v>
      </c>
      <c r="M50" s="8"/>
      <c r="N50" s="8">
        <f>'[1]eWAT - GC Results (nmol g)'!N50/1000</f>
        <v>119.48697472677594</v>
      </c>
      <c r="O50" s="8">
        <f>'[1]eWAT - GC Results (nmol g)'!O50/1000</f>
        <v>164.04730776851784</v>
      </c>
      <c r="P50" s="8">
        <f>'[1]eWAT - GC Results (nmol g)'!P50/1000</f>
        <v>155.03921740398883</v>
      </c>
      <c r="Q50" s="8">
        <f>'[1]eWAT - GC Results (nmol g)'!Q50/1000</f>
        <v>115.80346196426673</v>
      </c>
      <c r="R50" s="8">
        <f>'[1]eWAT - GC Results (nmol g)'!R50/1000</f>
        <v>103.40276441524932</v>
      </c>
      <c r="S50" s="8">
        <f>'[1]eWAT - GC Results (nmol g)'!S50/1000</f>
        <v>149.6659499111887</v>
      </c>
      <c r="T50" s="8">
        <f>'[1]eWAT - GC Results (nmol g)'!T50/1000</f>
        <v>90.413453282501081</v>
      </c>
      <c r="U50" s="8">
        <f>'[1]eWAT - GC Results (nmol g)'!U50/1000</f>
        <v>90.268900174962596</v>
      </c>
      <c r="V50" s="8">
        <f>'[1]eWAT - GC Results (nmol g)'!V50/1000</f>
        <v>105.12137343243464</v>
      </c>
      <c r="W50" s="8">
        <f>'[1]eWAT - GC Results (nmol g)'!W50/1000</f>
        <v>81.322151488541607</v>
      </c>
      <c r="X50" s="8"/>
      <c r="Y50" s="8">
        <f>'[1]eWAT - GC Results (nmol g)'!Y50/1000</f>
        <v>108.00899711808047</v>
      </c>
      <c r="Z50" s="8">
        <f>'[1]eWAT - GC Results (nmol g)'!Z50/1000</f>
        <v>119.97267448575298</v>
      </c>
      <c r="AA50" s="8">
        <f>'[1]eWAT - GC Results (nmol g)'!AA50/1000</f>
        <v>86.743214050879828</v>
      </c>
      <c r="AB50" s="8">
        <f>'[1]eWAT - GC Results (nmol g)'!AB50/1000</f>
        <v>101.84783694977131</v>
      </c>
      <c r="AC50" s="8">
        <f>'[1]eWAT - GC Results (nmol g)'!AC50/1000</f>
        <v>120.80523131401631</v>
      </c>
      <c r="AD50" s="8">
        <f>'[1]eWAT - GC Results (nmol g)'!AD50/1000</f>
        <v>75.934327401660354</v>
      </c>
      <c r="AE50" s="8">
        <f>'[1]eWAT - GC Results (nmol g)'!AE50/1000</f>
        <v>118.9413845265108</v>
      </c>
      <c r="AF50" s="8">
        <f>'[1]eWAT - GC Results (nmol g)'!AF50/1000</f>
        <v>145.8659768735815</v>
      </c>
      <c r="AG50" s="8">
        <f>'[1]eWAT - GC Results (nmol g)'!AG50/1000</f>
        <v>199.29273764406284</v>
      </c>
      <c r="AH50" s="8">
        <f>'[1]eWAT - GC Results (nmol g)'!AH50/1000</f>
        <v>156.65310628958733</v>
      </c>
      <c r="AI50" s="9"/>
      <c r="AJ50" s="9"/>
    </row>
    <row r="51" spans="1:36" x14ac:dyDescent="0.2">
      <c r="A51" t="s">
        <v>50</v>
      </c>
      <c r="C51" s="8">
        <f>'[1]eWAT - GC Results (nmol g)'!C51/1000</f>
        <v>0</v>
      </c>
      <c r="D51" s="8">
        <f>'[1]eWAT - GC Results (nmol g)'!D51/1000</f>
        <v>0</v>
      </c>
      <c r="E51" s="8">
        <f>'[1]eWAT - GC Results (nmol g)'!E51/1000</f>
        <v>0</v>
      </c>
      <c r="F51" s="8">
        <f>'[1]eWAT - GC Results (nmol g)'!F51/1000</f>
        <v>0</v>
      </c>
      <c r="G51" s="8">
        <f>'[1]eWAT - GC Results (nmol g)'!G51/1000</f>
        <v>0</v>
      </c>
      <c r="H51" s="8">
        <f>'[1]eWAT - GC Results (nmol g)'!H51/1000</f>
        <v>0</v>
      </c>
      <c r="I51" s="8">
        <f>'[1]eWAT - GC Results (nmol g)'!I51/1000</f>
        <v>0</v>
      </c>
      <c r="J51" s="8">
        <f>'[1]eWAT - GC Results (nmol g)'!J51/1000</f>
        <v>0</v>
      </c>
      <c r="K51" s="8">
        <f>'[1]eWAT - GC Results (nmol g)'!K51/1000</f>
        <v>0</v>
      </c>
      <c r="L51" s="8">
        <f>'[1]eWAT - GC Results (nmol g)'!L51/1000</f>
        <v>0</v>
      </c>
      <c r="M51" s="8"/>
      <c r="N51" s="8">
        <f>'[1]eWAT - GC Results (nmol g)'!N51/1000</f>
        <v>0</v>
      </c>
      <c r="O51" s="8">
        <f>'[1]eWAT - GC Results (nmol g)'!O51/1000</f>
        <v>0</v>
      </c>
      <c r="P51" s="8">
        <f>'[1]eWAT - GC Results (nmol g)'!P51/1000</f>
        <v>0</v>
      </c>
      <c r="Q51" s="8">
        <f>'[1]eWAT - GC Results (nmol g)'!Q51/1000</f>
        <v>0</v>
      </c>
      <c r="R51" s="8">
        <f>'[1]eWAT - GC Results (nmol g)'!R51/1000</f>
        <v>0</v>
      </c>
      <c r="S51" s="8">
        <f>'[1]eWAT - GC Results (nmol g)'!S51/1000</f>
        <v>0</v>
      </c>
      <c r="T51" s="8">
        <f>'[1]eWAT - GC Results (nmol g)'!T51/1000</f>
        <v>0</v>
      </c>
      <c r="U51" s="8">
        <f>'[1]eWAT - GC Results (nmol g)'!U51/1000</f>
        <v>0</v>
      </c>
      <c r="V51" s="8">
        <f>'[1]eWAT - GC Results (nmol g)'!V51/1000</f>
        <v>0</v>
      </c>
      <c r="W51" s="8">
        <f>'[1]eWAT - GC Results (nmol g)'!W51/1000</f>
        <v>0</v>
      </c>
      <c r="X51" s="8"/>
      <c r="Y51" s="8">
        <f>'[1]eWAT - GC Results (nmol g)'!Y51/1000</f>
        <v>0</v>
      </c>
      <c r="Z51" s="8">
        <f>'[1]eWAT - GC Results (nmol g)'!Z51/1000</f>
        <v>0</v>
      </c>
      <c r="AA51" s="8">
        <f>'[1]eWAT - GC Results (nmol g)'!AA51/1000</f>
        <v>0</v>
      </c>
      <c r="AB51" s="8">
        <f>'[1]eWAT - GC Results (nmol g)'!AB51/1000</f>
        <v>0</v>
      </c>
      <c r="AC51" s="8">
        <f>'[1]eWAT - GC Results (nmol g)'!AC51/1000</f>
        <v>0</v>
      </c>
      <c r="AD51" s="8">
        <f>'[1]eWAT - GC Results (nmol g)'!AD51/1000</f>
        <v>0</v>
      </c>
      <c r="AE51" s="8">
        <f>'[1]eWAT - GC Results (nmol g)'!AE51/1000</f>
        <v>0</v>
      </c>
      <c r="AF51" s="8">
        <f>'[1]eWAT - GC Results (nmol g)'!AF51/1000</f>
        <v>0</v>
      </c>
      <c r="AG51" s="8">
        <f>'[1]eWAT - GC Results (nmol g)'!AG51/1000</f>
        <v>0</v>
      </c>
      <c r="AH51" s="8">
        <f>'[1]eWAT - GC Results (nmol g)'!AH51/1000</f>
        <v>0</v>
      </c>
      <c r="AI51" s="9"/>
      <c r="AJ51" s="9"/>
    </row>
    <row r="52" spans="1:36" x14ac:dyDescent="0.2">
      <c r="A52" t="s">
        <v>37</v>
      </c>
      <c r="C52" s="8">
        <f>'[1]eWAT - GC Results (nmol g)'!C52/1000</f>
        <v>50.912228970498184</v>
      </c>
      <c r="D52" s="8">
        <f>'[1]eWAT - GC Results (nmol g)'!D52/1000</f>
        <v>57.4151491628797</v>
      </c>
      <c r="E52" s="8">
        <f>'[1]eWAT - GC Results (nmol g)'!E52/1000</f>
        <v>74.645390791559208</v>
      </c>
      <c r="F52" s="8">
        <f>'[1]eWAT - GC Results (nmol g)'!F52/1000</f>
        <v>72.545833169181023</v>
      </c>
      <c r="G52" s="8">
        <f>'[1]eWAT - GC Results (nmol g)'!G52/1000</f>
        <v>57.687069843583792</v>
      </c>
      <c r="H52" s="8">
        <f>'[1]eWAT - GC Results (nmol g)'!H52/1000</f>
        <v>73.794549885772497</v>
      </c>
      <c r="I52" s="8">
        <f>'[1]eWAT - GC Results (nmol g)'!I52/1000</f>
        <v>66.927895169777486</v>
      </c>
      <c r="J52" s="8">
        <f>'[1]eWAT - GC Results (nmol g)'!J52/1000</f>
        <v>65.576821878864152</v>
      </c>
      <c r="K52" s="8">
        <f>'[1]eWAT - GC Results (nmol g)'!K52/1000</f>
        <v>57.351907152132057</v>
      </c>
      <c r="L52" s="8">
        <f>'[1]eWAT - GC Results (nmol g)'!L52/1000</f>
        <v>59.311870390972437</v>
      </c>
      <c r="M52" s="8"/>
      <c r="N52" s="8">
        <f>'[1]eWAT - GC Results (nmol g)'!N52/1000</f>
        <v>66.933163633782257</v>
      </c>
      <c r="O52" s="8">
        <f>'[1]eWAT - GC Results (nmol g)'!O52/1000</f>
        <v>65.493380254089061</v>
      </c>
      <c r="P52" s="8">
        <f>'[1]eWAT - GC Results (nmol g)'!P52/1000</f>
        <v>43.492005405696702</v>
      </c>
      <c r="Q52" s="8">
        <f>'[1]eWAT - GC Results (nmol g)'!Q52/1000</f>
        <v>80.150627126117996</v>
      </c>
      <c r="R52" s="8">
        <f>'[1]eWAT - GC Results (nmol g)'!R52/1000</f>
        <v>64.996027078321603</v>
      </c>
      <c r="S52" s="8">
        <f>'[1]eWAT - GC Results (nmol g)'!S52/1000</f>
        <v>101.75328222426826</v>
      </c>
      <c r="T52" s="8">
        <f>'[1]eWAT - GC Results (nmol g)'!T52/1000</f>
        <v>47.947600319550531</v>
      </c>
      <c r="U52" s="8">
        <f>'[1]eWAT - GC Results (nmol g)'!U52/1000</f>
        <v>51.499513546961388</v>
      </c>
      <c r="V52" s="8">
        <f>'[1]eWAT - GC Results (nmol g)'!V52/1000</f>
        <v>62.840105321374722</v>
      </c>
      <c r="W52" s="8">
        <f>'[1]eWAT - GC Results (nmol g)'!W52/1000</f>
        <v>49.362284213872698</v>
      </c>
      <c r="X52" s="8"/>
      <c r="Y52" s="8">
        <f>'[1]eWAT - GC Results (nmol g)'!Y52/1000</f>
        <v>59.457795256600932</v>
      </c>
      <c r="Z52" s="8">
        <f>'[1]eWAT - GC Results (nmol g)'!Z52/1000</f>
        <v>70.939023011402412</v>
      </c>
      <c r="AA52" s="8">
        <f>'[1]eWAT - GC Results (nmol g)'!AA52/1000</f>
        <v>51.356860293051973</v>
      </c>
      <c r="AB52" s="8">
        <f>'[1]eWAT - GC Results (nmol g)'!AB52/1000</f>
        <v>61.08927237203963</v>
      </c>
      <c r="AC52" s="8">
        <f>'[1]eWAT - GC Results (nmol g)'!AC52/1000</f>
        <v>75.201916554137028</v>
      </c>
      <c r="AD52" s="8">
        <f>'[1]eWAT - GC Results (nmol g)'!AD52/1000</f>
        <v>52.372159915638626</v>
      </c>
      <c r="AE52" s="8">
        <f>'[1]eWAT - GC Results (nmol g)'!AE52/1000</f>
        <v>58.975549048839625</v>
      </c>
      <c r="AF52" s="8">
        <f>'[1]eWAT - GC Results (nmol g)'!AF52/1000</f>
        <v>89.438848967174081</v>
      </c>
      <c r="AG52" s="8">
        <f>'[1]eWAT - GC Results (nmol g)'!AG52/1000</f>
        <v>82.92757575177535</v>
      </c>
      <c r="AH52" s="8">
        <f>'[1]eWAT - GC Results (nmol g)'!AH52/1000</f>
        <v>75.792838361547055</v>
      </c>
      <c r="AI52" s="9"/>
      <c r="AJ52" s="9"/>
    </row>
    <row r="53" spans="1:36" x14ac:dyDescent="0.2">
      <c r="A53" t="s">
        <v>38</v>
      </c>
      <c r="C53" s="8">
        <f>'[1]eWAT - GC Results (nmol g)'!C53/1000</f>
        <v>666.86147951934072</v>
      </c>
      <c r="D53" s="8">
        <f>'[1]eWAT - GC Results (nmol g)'!D53/1000</f>
        <v>644.94423314680068</v>
      </c>
      <c r="E53" s="8">
        <f>'[1]eWAT - GC Results (nmol g)'!E53/1000</f>
        <v>959.54360317789178</v>
      </c>
      <c r="F53" s="8">
        <f>'[1]eWAT - GC Results (nmol g)'!F53/1000</f>
        <v>645.66574594071176</v>
      </c>
      <c r="G53" s="8">
        <f>'[1]eWAT - GC Results (nmol g)'!G53/1000</f>
        <v>707.87573882939205</v>
      </c>
      <c r="H53" s="8">
        <f>'[1]eWAT - GC Results (nmol g)'!H53/1000</f>
        <v>796.50687628338812</v>
      </c>
      <c r="I53" s="8">
        <f>'[1]eWAT - GC Results (nmol g)'!I53/1000</f>
        <v>797.46295548198282</v>
      </c>
      <c r="J53" s="8">
        <f>'[1]eWAT - GC Results (nmol g)'!J53/1000</f>
        <v>681.92052040708245</v>
      </c>
      <c r="K53" s="8">
        <f>'[1]eWAT - GC Results (nmol g)'!K53/1000</f>
        <v>813.76429504627913</v>
      </c>
      <c r="L53" s="8">
        <f>'[1]eWAT - GC Results (nmol g)'!L53/1000</f>
        <v>774.35121541236094</v>
      </c>
      <c r="M53" s="8"/>
      <c r="N53" s="8">
        <f>'[1]eWAT - GC Results (nmol g)'!N53/1000</f>
        <v>749.02737144108119</v>
      </c>
      <c r="O53" s="8">
        <f>'[1]eWAT - GC Results (nmol g)'!O53/1000</f>
        <v>928.22822083169626</v>
      </c>
      <c r="P53" s="8">
        <f>'[1]eWAT - GC Results (nmol g)'!P53/1000</f>
        <v>719.16762340464766</v>
      </c>
      <c r="Q53" s="8">
        <f>'[1]eWAT - GC Results (nmol g)'!Q53/1000</f>
        <v>1003.250794007902</v>
      </c>
      <c r="R53" s="8">
        <f>'[1]eWAT - GC Results (nmol g)'!R53/1000</f>
        <v>694.65508690787726</v>
      </c>
      <c r="S53" s="8">
        <f>'[1]eWAT - GC Results (nmol g)'!S53/1000</f>
        <v>1087.7695367241256</v>
      </c>
      <c r="T53" s="8">
        <f>'[1]eWAT - GC Results (nmol g)'!T53/1000</f>
        <v>534.24152645279366</v>
      </c>
      <c r="U53" s="8">
        <f>'[1]eWAT - GC Results (nmol g)'!U53/1000</f>
        <v>685.6092597148662</v>
      </c>
      <c r="V53" s="8">
        <f>'[1]eWAT - GC Results (nmol g)'!V53/1000</f>
        <v>747.32269051432456</v>
      </c>
      <c r="W53" s="8">
        <f>'[1]eWAT - GC Results (nmol g)'!W53/1000</f>
        <v>535.50806374991896</v>
      </c>
      <c r="X53" s="8"/>
      <c r="Y53" s="8">
        <f>'[1]eWAT - GC Results (nmol g)'!Y53/1000</f>
        <v>676.51826825189653</v>
      </c>
      <c r="Z53" s="8">
        <f>'[1]eWAT - GC Results (nmol g)'!Z53/1000</f>
        <v>816.03030630491025</v>
      </c>
      <c r="AA53" s="8">
        <f>'[1]eWAT - GC Results (nmol g)'!AA53/1000</f>
        <v>581.36934131428234</v>
      </c>
      <c r="AB53" s="8">
        <f>'[1]eWAT - GC Results (nmol g)'!AB53/1000</f>
        <v>751.71503864992178</v>
      </c>
      <c r="AC53" s="8">
        <f>'[1]eWAT - GC Results (nmol g)'!AC53/1000</f>
        <v>837.41169402329285</v>
      </c>
      <c r="AD53" s="8">
        <f>'[1]eWAT - GC Results (nmol g)'!AD53/1000</f>
        <v>563.60431630784876</v>
      </c>
      <c r="AE53" s="8">
        <f>'[1]eWAT - GC Results (nmol g)'!AE53/1000</f>
        <v>752.67535759045779</v>
      </c>
      <c r="AF53" s="8">
        <f>'[1]eWAT - GC Results (nmol g)'!AF53/1000</f>
        <v>1025.0610676405122</v>
      </c>
      <c r="AG53" s="8">
        <f>'[1]eWAT - GC Results (nmol g)'!AG53/1000</f>
        <v>1182.6338831072283</v>
      </c>
      <c r="AH53" s="8">
        <f>'[1]eWAT - GC Results (nmol g)'!AH53/1000</f>
        <v>906.73428967513269</v>
      </c>
      <c r="AI53" s="9"/>
      <c r="AJ53" s="9"/>
    </row>
    <row r="54" spans="1:36" x14ac:dyDescent="0.2">
      <c r="A54" t="s">
        <v>39</v>
      </c>
      <c r="C54" s="8">
        <f>'[1]eWAT - GC Results (nmol g)'!C54/1000</f>
        <v>243.71014855915365</v>
      </c>
      <c r="D54" s="8">
        <f>'[1]eWAT - GC Results (nmol g)'!D54/1000</f>
        <v>267.43920134502997</v>
      </c>
      <c r="E54" s="8">
        <f>'[1]eWAT - GC Results (nmol g)'!E54/1000</f>
        <v>397.36745155010669</v>
      </c>
      <c r="F54" s="8">
        <f>'[1]eWAT - GC Results (nmol g)'!F54/1000</f>
        <v>264.89400909725384</v>
      </c>
      <c r="G54" s="8">
        <f>'[1]eWAT - GC Results (nmol g)'!G54/1000</f>
        <v>277.95357232015505</v>
      </c>
      <c r="H54" s="8">
        <f>'[1]eWAT - GC Results (nmol g)'!H54/1000</f>
        <v>336.57476727364866</v>
      </c>
      <c r="I54" s="8">
        <f>'[1]eWAT - GC Results (nmol g)'!I54/1000</f>
        <v>308.07702497306502</v>
      </c>
      <c r="J54" s="8">
        <f>'[1]eWAT - GC Results (nmol g)'!J54/1000</f>
        <v>254.95143135041636</v>
      </c>
      <c r="K54" s="8">
        <f>'[1]eWAT - GC Results (nmol g)'!K54/1000</f>
        <v>274.58219121146254</v>
      </c>
      <c r="L54" s="8">
        <f>'[1]eWAT - GC Results (nmol g)'!L54/1000</f>
        <v>288.29458720244651</v>
      </c>
      <c r="M54" s="8"/>
      <c r="N54" s="8">
        <f>'[1]eWAT - GC Results (nmol g)'!N54/1000</f>
        <v>308.59995894600985</v>
      </c>
      <c r="O54" s="8">
        <f>'[1]eWAT - GC Results (nmol g)'!O54/1000</f>
        <v>358.0289147135889</v>
      </c>
      <c r="P54" s="8">
        <f>'[1]eWAT - GC Results (nmol g)'!P54/1000</f>
        <v>292.48977373104225</v>
      </c>
      <c r="Q54" s="8">
        <f>'[1]eWAT - GC Results (nmol g)'!Q54/1000</f>
        <v>360.29091718600506</v>
      </c>
      <c r="R54" s="8">
        <f>'[1]eWAT - GC Results (nmol g)'!R54/1000</f>
        <v>286.93162480826356</v>
      </c>
      <c r="S54" s="8">
        <f>'[1]eWAT - GC Results (nmol g)'!S54/1000</f>
        <v>455.11294426503321</v>
      </c>
      <c r="T54" s="8">
        <f>'[1]eWAT - GC Results (nmol g)'!T54/1000</f>
        <v>219.66380228737609</v>
      </c>
      <c r="U54" s="8">
        <f>'[1]eWAT - GC Results (nmol g)'!U54/1000</f>
        <v>251.93138372823799</v>
      </c>
      <c r="V54" s="8">
        <f>'[1]eWAT - GC Results (nmol g)'!V54/1000</f>
        <v>298.93385426805946</v>
      </c>
      <c r="W54" s="8">
        <f>'[1]eWAT - GC Results (nmol g)'!W54/1000</f>
        <v>223.45678699550805</v>
      </c>
      <c r="X54" s="8"/>
      <c r="Y54" s="8">
        <f>'[1]eWAT - GC Results (nmol g)'!Y54/1000</f>
        <v>278.38522134709694</v>
      </c>
      <c r="Z54" s="8">
        <f>'[1]eWAT - GC Results (nmol g)'!Z54/1000</f>
        <v>332.38329908812187</v>
      </c>
      <c r="AA54" s="8">
        <f>'[1]eWAT - GC Results (nmol g)'!AA54/1000</f>
        <v>232.24449806543416</v>
      </c>
      <c r="AB54" s="8">
        <f>'[1]eWAT - GC Results (nmol g)'!AB54/1000</f>
        <v>307.54839871866812</v>
      </c>
      <c r="AC54" s="8">
        <f>'[1]eWAT - GC Results (nmol g)'!AC54/1000</f>
        <v>352.08147019901526</v>
      </c>
      <c r="AD54" s="8">
        <f>'[1]eWAT - GC Results (nmol g)'!AD54/1000</f>
        <v>233.42127050343166</v>
      </c>
      <c r="AE54" s="8">
        <f>'[1]eWAT - GC Results (nmol g)'!AE54/1000</f>
        <v>305.45293902766093</v>
      </c>
      <c r="AF54" s="8">
        <f>'[1]eWAT - GC Results (nmol g)'!AF54/1000</f>
        <v>402.67905810100802</v>
      </c>
      <c r="AG54" s="8">
        <f>'[1]eWAT - GC Results (nmol g)'!AG54/1000</f>
        <v>456.65237348192483</v>
      </c>
      <c r="AH54" s="8">
        <f>'[1]eWAT - GC Results (nmol g)'!AH54/1000</f>
        <v>388.5925281089672</v>
      </c>
      <c r="AI54" s="9"/>
      <c r="AJ54" s="9"/>
    </row>
    <row r="55" spans="1:36" x14ac:dyDescent="0.2">
      <c r="A55" t="s">
        <v>40</v>
      </c>
      <c r="C55" s="8">
        <f>'[1]eWAT - GC Results (nmol g)'!C55/1000</f>
        <v>0.56855409778690136</v>
      </c>
      <c r="D55" s="8">
        <f>'[1]eWAT - GC Results (nmol g)'!D55/1000</f>
        <v>0.5701720950761866</v>
      </c>
      <c r="E55" s="8">
        <f>'[1]eWAT - GC Results (nmol g)'!E55/1000</f>
        <v>0.84525885602696249</v>
      </c>
      <c r="F55" s="8">
        <f>'[1]eWAT - GC Results (nmol g)'!F55/1000</f>
        <v>0.65139465573564803</v>
      </c>
      <c r="G55" s="8">
        <f>'[1]eWAT - GC Results (nmol g)'!G55/1000</f>
        <v>0.63879255897397635</v>
      </c>
      <c r="H55" s="8">
        <f>'[1]eWAT - GC Results (nmol g)'!H55/1000</f>
        <v>0.72973527067796018</v>
      </c>
      <c r="I55" s="8">
        <f>'[1]eWAT - GC Results (nmol g)'!I55/1000</f>
        <v>0.75227750048868414</v>
      </c>
      <c r="J55" s="8">
        <f>'[1]eWAT - GC Results (nmol g)'!J55/1000</f>
        <v>0.59607245450489799</v>
      </c>
      <c r="K55" s="8">
        <f>'[1]eWAT - GC Results (nmol g)'!K55/1000</f>
        <v>0.56815961372276502</v>
      </c>
      <c r="L55" s="8">
        <f>'[1]eWAT - GC Results (nmol g)'!L55/1000</f>
        <v>0.55353429370023288</v>
      </c>
      <c r="M55" s="8"/>
      <c r="N55" s="8">
        <f>'[1]eWAT - GC Results (nmol g)'!N55/1000</f>
        <v>0.75869423545097292</v>
      </c>
      <c r="O55" s="8">
        <f>'[1]eWAT - GC Results (nmol g)'!O55/1000</f>
        <v>1.1405869389015511</v>
      </c>
      <c r="P55" s="8">
        <f>'[1]eWAT - GC Results (nmol g)'!P55/1000</f>
        <v>0.6180856088645128</v>
      </c>
      <c r="Q55" s="8">
        <f>'[1]eWAT - GC Results (nmol g)'!Q55/1000</f>
        <v>0.81215505457719805</v>
      </c>
      <c r="R55" s="8">
        <f>'[1]eWAT - GC Results (nmol g)'!R55/1000</f>
        <v>0.76121677205200067</v>
      </c>
      <c r="S55" s="8">
        <f>'[1]eWAT - GC Results (nmol g)'!S55/1000</f>
        <v>1.3823619784294918</v>
      </c>
      <c r="T55" s="8">
        <f>'[1]eWAT - GC Results (nmol g)'!T55/1000</f>
        <v>0.53993006315477909</v>
      </c>
      <c r="U55" s="8">
        <f>'[1]eWAT - GC Results (nmol g)'!U55/1000</f>
        <v>0.65045596580282872</v>
      </c>
      <c r="V55" s="8">
        <f>'[1]eWAT - GC Results (nmol g)'!V55/1000</f>
        <v>0.71266812575463157</v>
      </c>
      <c r="W55" s="8">
        <f>'[1]eWAT - GC Results (nmol g)'!W55/1000</f>
        <v>0.56138459458677725</v>
      </c>
      <c r="X55" s="8"/>
      <c r="Y55" s="8">
        <f>'[1]eWAT - GC Results (nmol g)'!Y55/1000</f>
        <v>0.61480741436960362</v>
      </c>
      <c r="Z55" s="8">
        <f>'[1]eWAT - GC Results (nmol g)'!Z55/1000</f>
        <v>0.90659110371689078</v>
      </c>
      <c r="AA55" s="8">
        <f>'[1]eWAT - GC Results (nmol g)'!AA55/1000</f>
        <v>0.52929657769285121</v>
      </c>
      <c r="AB55" s="8">
        <f>'[1]eWAT - GC Results (nmol g)'!AB55/1000</f>
        <v>0.82044797090879951</v>
      </c>
      <c r="AC55" s="8">
        <f>'[1]eWAT - GC Results (nmol g)'!AC55/1000</f>
        <v>0.99902638929029064</v>
      </c>
      <c r="AD55" s="8">
        <f>'[1]eWAT - GC Results (nmol g)'!AD55/1000</f>
        <v>0.51871310729598608</v>
      </c>
      <c r="AE55" s="8">
        <f>'[1]eWAT - GC Results (nmol g)'!AE55/1000</f>
        <v>0.61819547730792146</v>
      </c>
      <c r="AF55" s="8">
        <f>'[1]eWAT - GC Results (nmol g)'!AF55/1000</f>
        <v>0.89430006086405678</v>
      </c>
      <c r="AG55" s="8">
        <f>'[1]eWAT - GC Results (nmol g)'!AG55/1000</f>
        <v>1.3025151100273218</v>
      </c>
      <c r="AH55" s="8">
        <f>'[1]eWAT - GC Results (nmol g)'!AH55/1000</f>
        <v>1.0336650059524966</v>
      </c>
      <c r="AI55" s="9"/>
      <c r="AJ55" s="9"/>
    </row>
    <row r="56" spans="1:36" x14ac:dyDescent="0.2">
      <c r="A56" t="s">
        <v>41</v>
      </c>
      <c r="C56" s="8">
        <f>'[1]eWAT - GC Results (nmol g)'!C56/1000</f>
        <v>18.96464110700197</v>
      </c>
      <c r="D56" s="8">
        <f>'[1]eWAT - GC Results (nmol g)'!D56/1000</f>
        <v>21.638200995778696</v>
      </c>
      <c r="E56" s="8">
        <f>'[1]eWAT - GC Results (nmol g)'!E56/1000</f>
        <v>29.09764949650398</v>
      </c>
      <c r="F56" s="8">
        <f>'[1]eWAT - GC Results (nmol g)'!F56/1000</f>
        <v>22.440196685646438</v>
      </c>
      <c r="G56" s="8">
        <f>'[1]eWAT - GC Results (nmol g)'!G56/1000</f>
        <v>23.894504355903646</v>
      </c>
      <c r="H56" s="8">
        <f>'[1]eWAT - GC Results (nmol g)'!H56/1000</f>
        <v>27.561111094078257</v>
      </c>
      <c r="I56" s="8">
        <f>'[1]eWAT - GC Results (nmol g)'!I56/1000</f>
        <v>23.857805053948415</v>
      </c>
      <c r="J56" s="8">
        <f>'[1]eWAT - GC Results (nmol g)'!J56/1000</f>
        <v>21.021364970650975</v>
      </c>
      <c r="K56" s="8">
        <f>'[1]eWAT - GC Results (nmol g)'!K56/1000</f>
        <v>20.193344945187825</v>
      </c>
      <c r="L56" s="8">
        <f>'[1]eWAT - GC Results (nmol g)'!L56/1000</f>
        <v>22.278618882815568</v>
      </c>
      <c r="M56" s="8"/>
      <c r="N56" s="8">
        <f>'[1]eWAT - GC Results (nmol g)'!N56/1000</f>
        <v>26.845196366965947</v>
      </c>
      <c r="O56" s="8">
        <f>'[1]eWAT - GC Results (nmol g)'!O56/1000</f>
        <v>31.879729766862795</v>
      </c>
      <c r="P56" s="8">
        <f>'[1]eWAT - GC Results (nmol g)'!P56/1000</f>
        <v>25.181686989584083</v>
      </c>
      <c r="Q56" s="8">
        <f>'[1]eWAT - GC Results (nmol g)'!Q56/1000</f>
        <v>28.96231642895328</v>
      </c>
      <c r="R56" s="8">
        <f>'[1]eWAT - GC Results (nmol g)'!R56/1000</f>
        <v>26.794069189865226</v>
      </c>
      <c r="S56" s="8">
        <f>'[1]eWAT - GC Results (nmol g)'!S56/1000</f>
        <v>39.993640765753504</v>
      </c>
      <c r="T56" s="8">
        <f>'[1]eWAT - GC Results (nmol g)'!T56/1000</f>
        <v>20.754116028932689</v>
      </c>
      <c r="U56" s="8">
        <f>'[1]eWAT - GC Results (nmol g)'!U56/1000</f>
        <v>19.532497661060589</v>
      </c>
      <c r="V56" s="8">
        <f>'[1]eWAT - GC Results (nmol g)'!V56/1000</f>
        <v>25.004298261274595</v>
      </c>
      <c r="W56" s="8">
        <f>'[1]eWAT - GC Results (nmol g)'!W56/1000</f>
        <v>20.37316697784588</v>
      </c>
      <c r="X56" s="8"/>
      <c r="Y56" s="8">
        <f>'[1]eWAT - GC Results (nmol g)'!Y56/1000</f>
        <v>25.457691325341912</v>
      </c>
      <c r="Z56" s="8">
        <f>'[1]eWAT - GC Results (nmol g)'!Z56/1000</f>
        <v>29.073170782970404</v>
      </c>
      <c r="AA56" s="8">
        <f>'[1]eWAT - GC Results (nmol g)'!AA56/1000</f>
        <v>20.365667293140582</v>
      </c>
      <c r="AB56" s="8">
        <f>'[1]eWAT - GC Results (nmol g)'!AB56/1000</f>
        <v>24.872010795040485</v>
      </c>
      <c r="AC56" s="8">
        <f>'[1]eWAT - GC Results (nmol g)'!AC56/1000</f>
        <v>29.385965605888074</v>
      </c>
      <c r="AD56" s="8">
        <f>'[1]eWAT - GC Results (nmol g)'!AD56/1000</f>
        <v>20.281404732521192</v>
      </c>
      <c r="AE56" s="8">
        <f>'[1]eWAT - GC Results (nmol g)'!AE56/1000</f>
        <v>25.534272310404255</v>
      </c>
      <c r="AF56" s="8">
        <f>'[1]eWAT - GC Results (nmol g)'!AF56/1000</f>
        <v>35.248423046102282</v>
      </c>
      <c r="AG56" s="8">
        <f>'[1]eWAT - GC Results (nmol g)'!AG56/1000</f>
        <v>38.064159713601541</v>
      </c>
      <c r="AH56" s="8">
        <f>'[1]eWAT - GC Results (nmol g)'!AH56/1000</f>
        <v>36.847845331419457</v>
      </c>
      <c r="AI56" s="9"/>
      <c r="AJ56" s="9"/>
    </row>
    <row r="57" spans="1:36" x14ac:dyDescent="0.2">
      <c r="A57" t="s">
        <v>42</v>
      </c>
      <c r="C57" s="8">
        <f>'[1]eWAT - GC Results (nmol g)'!C57/1000</f>
        <v>0.45535297977357325</v>
      </c>
      <c r="D57" s="8">
        <f>'[1]eWAT - GC Results (nmol g)'!D57/1000</f>
        <v>0.24523552624103651</v>
      </c>
      <c r="E57" s="8">
        <f>'[1]eWAT - GC Results (nmol g)'!E57/1000</f>
        <v>0.44705963352074646</v>
      </c>
      <c r="F57" s="8">
        <f>'[1]eWAT - GC Results (nmol g)'!F57/1000</f>
        <v>0.32544906321039002</v>
      </c>
      <c r="G57" s="8">
        <f>'[1]eWAT - GC Results (nmol g)'!G57/1000</f>
        <v>0.39686424418647004</v>
      </c>
      <c r="H57" s="8">
        <f>'[1]eWAT - GC Results (nmol g)'!H57/1000</f>
        <v>0.23715345804517671</v>
      </c>
      <c r="I57" s="8">
        <f>'[1]eWAT - GC Results (nmol g)'!I57/1000</f>
        <v>0.21746203615598247</v>
      </c>
      <c r="J57" s="8">
        <f>'[1]eWAT - GC Results (nmol g)'!J57/1000</f>
        <v>0.37140563869395499</v>
      </c>
      <c r="K57" s="8">
        <f>'[1]eWAT - GC Results (nmol g)'!K57/1000</f>
        <v>0.14358239324044947</v>
      </c>
      <c r="L57" s="8">
        <f>'[1]eWAT - GC Results (nmol g)'!L57/1000</f>
        <v>0.25403486880373877</v>
      </c>
      <c r="M57" s="8"/>
      <c r="N57" s="8">
        <f>'[1]eWAT - GC Results (nmol g)'!N57/1000</f>
        <v>0.22508207407394248</v>
      </c>
      <c r="O57" s="8">
        <f>'[1]eWAT - GC Results (nmol g)'!O57/1000</f>
        <v>0.96709825793099602</v>
      </c>
      <c r="P57" s="8">
        <f>'[1]eWAT - GC Results (nmol g)'!P57/1000</f>
        <v>0.56199158473130528</v>
      </c>
      <c r="Q57" s="8">
        <f>'[1]eWAT - GC Results (nmol g)'!Q57/1000</f>
        <v>0.47495342847285199</v>
      </c>
      <c r="R57" s="8">
        <f>'[1]eWAT - GC Results (nmol g)'!R57/1000</f>
        <v>0.51346890214608465</v>
      </c>
      <c r="S57" s="8">
        <f>'[1]eWAT - GC Results (nmol g)'!S57/1000</f>
        <v>0.56064726095089645</v>
      </c>
      <c r="T57" s="8">
        <f>'[1]eWAT - GC Results (nmol g)'!T57/1000</f>
        <v>0.38956220349699666</v>
      </c>
      <c r="U57" s="8">
        <f>'[1]eWAT - GC Results (nmol g)'!U57/1000</f>
        <v>0.25481666641417455</v>
      </c>
      <c r="V57" s="8">
        <f>'[1]eWAT - GC Results (nmol g)'!V57/1000</f>
        <v>0.31797125066361909</v>
      </c>
      <c r="W57" s="8">
        <f>'[1]eWAT - GC Results (nmol g)'!W57/1000</f>
        <v>0.26782377749358516</v>
      </c>
      <c r="X57" s="8"/>
      <c r="Y57" s="8">
        <f>'[1]eWAT - GC Results (nmol g)'!Y57/1000</f>
        <v>0.20747248851163902</v>
      </c>
      <c r="Z57" s="8">
        <f>'[1]eWAT - GC Results (nmol g)'!Z57/1000</f>
        <v>0.44511756604516017</v>
      </c>
      <c r="AA57" s="8">
        <f>'[1]eWAT - GC Results (nmol g)'!AA57/1000</f>
        <v>0.36801488773362301</v>
      </c>
      <c r="AB57" s="8">
        <f>'[1]eWAT - GC Results (nmol g)'!AB57/1000</f>
        <v>0.37160594659992047</v>
      </c>
      <c r="AC57" s="8">
        <f>'[1]eWAT - GC Results (nmol g)'!AC57/1000</f>
        <v>0.47812947241148934</v>
      </c>
      <c r="AD57" s="8">
        <f>'[1]eWAT - GC Results (nmol g)'!AD57/1000</f>
        <v>0.19670383625462765</v>
      </c>
      <c r="AE57" s="8">
        <f>'[1]eWAT - GC Results (nmol g)'!AE57/1000</f>
        <v>0.22778713843691636</v>
      </c>
      <c r="AF57" s="8">
        <f>'[1]eWAT - GC Results (nmol g)'!AF57/1000</f>
        <v>0.56062952905596597</v>
      </c>
      <c r="AG57" s="8">
        <f>'[1]eWAT - GC Results (nmol g)'!AG57/1000</f>
        <v>0.72541694387639588</v>
      </c>
      <c r="AH57" s="8">
        <f>'[1]eWAT - GC Results (nmol g)'!AH57/1000</f>
        <v>0.39998055791566106</v>
      </c>
      <c r="AI57" s="9"/>
      <c r="AJ57" s="9"/>
    </row>
    <row r="58" spans="1:36" x14ac:dyDescent="0.2">
      <c r="A58" t="s">
        <v>43</v>
      </c>
      <c r="C58" s="8">
        <f>'[1]eWAT - GC Results (nmol g)'!C58/1000</f>
        <v>2.0845745731734966</v>
      </c>
      <c r="D58" s="8">
        <f>'[1]eWAT - GC Results (nmol g)'!D58/1000</f>
        <v>3.0679288012921702</v>
      </c>
      <c r="E58" s="8">
        <f>'[1]eWAT - GC Results (nmol g)'!E58/1000</f>
        <v>3.1795592357564839</v>
      </c>
      <c r="F58" s="8">
        <f>'[1]eWAT - GC Results (nmol g)'!F58/1000</f>
        <v>2.8875297125334973</v>
      </c>
      <c r="G58" s="8">
        <f>'[1]eWAT - GC Results (nmol g)'!G58/1000</f>
        <v>4.4505651772683956</v>
      </c>
      <c r="H58" s="8">
        <f>'[1]eWAT - GC Results (nmol g)'!H58/1000</f>
        <v>3.901857565984399</v>
      </c>
      <c r="I58" s="8">
        <f>'[1]eWAT - GC Results (nmol g)'!I58/1000</f>
        <v>2.810455317196932</v>
      </c>
      <c r="J58" s="8">
        <f>'[1]eWAT - GC Results (nmol g)'!J58/1000</f>
        <v>2.4245370561368764</v>
      </c>
      <c r="K58" s="8">
        <f>'[1]eWAT - GC Results (nmol g)'!K58/1000</f>
        <v>1.9262687828105429</v>
      </c>
      <c r="L58" s="8">
        <f>'[1]eWAT - GC Results (nmol g)'!L58/1000</f>
        <v>2.3322382210573007</v>
      </c>
      <c r="M58" s="8"/>
      <c r="N58" s="8">
        <f>'[1]eWAT - GC Results (nmol g)'!N58/1000</f>
        <v>3.8048110234001875</v>
      </c>
      <c r="O58" s="8">
        <f>'[1]eWAT - GC Results (nmol g)'!O58/1000</f>
        <v>4.9659415580934763</v>
      </c>
      <c r="P58" s="8">
        <f>'[1]eWAT - GC Results (nmol g)'!P58/1000</f>
        <v>4.8316227467227186</v>
      </c>
      <c r="Q58" s="8">
        <f>'[1]eWAT - GC Results (nmol g)'!Q58/1000</f>
        <v>2.5880954499014481</v>
      </c>
      <c r="R58" s="8">
        <f>'[1]eWAT - GC Results (nmol g)'!R58/1000</f>
        <v>3.7064255304140712</v>
      </c>
      <c r="S58" s="8">
        <f>'[1]eWAT - GC Results (nmol g)'!S58/1000</f>
        <v>4.8600162958790252</v>
      </c>
      <c r="T58" s="8">
        <f>'[1]eWAT - GC Results (nmol g)'!T58/1000</f>
        <v>3.1609638794440675</v>
      </c>
      <c r="U58" s="8">
        <f>'[1]eWAT - GC Results (nmol g)'!U58/1000</f>
        <v>2.2718497173314756</v>
      </c>
      <c r="V58" s="8">
        <f>'[1]eWAT - GC Results (nmol g)'!V58/1000</f>
        <v>3.2762777342507348</v>
      </c>
      <c r="W58" s="8">
        <f>'[1]eWAT - GC Results (nmol g)'!W58/1000</f>
        <v>2.6283903745978008</v>
      </c>
      <c r="X58" s="8"/>
      <c r="Y58" s="8">
        <f>'[1]eWAT - GC Results (nmol g)'!Y58/1000</f>
        <v>3.5229265330599477</v>
      </c>
      <c r="Z58" s="8">
        <f>'[1]eWAT - GC Results (nmol g)'!Z58/1000</f>
        <v>3.8058746914231549</v>
      </c>
      <c r="AA58" s="8">
        <f>'[1]eWAT - GC Results (nmol g)'!AA58/1000</f>
        <v>2.9179600258492657</v>
      </c>
      <c r="AB58" s="8">
        <f>'[1]eWAT - GC Results (nmol g)'!AB58/1000</f>
        <v>3.2884412357046839</v>
      </c>
      <c r="AC58" s="8">
        <f>'[1]eWAT - GC Results (nmol g)'!AC58/1000</f>
        <v>3.5975554814808741</v>
      </c>
      <c r="AD58" s="8">
        <f>'[1]eWAT - GC Results (nmol g)'!AD58/1000</f>
        <v>2.7870316594271971</v>
      </c>
      <c r="AE58" s="8">
        <f>'[1]eWAT - GC Results (nmol g)'!AE58/1000</f>
        <v>3.4510073654637736</v>
      </c>
      <c r="AF58" s="8">
        <f>'[1]eWAT - GC Results (nmol g)'!AF58/1000</f>
        <v>4.7805956380613281</v>
      </c>
      <c r="AG58" s="8">
        <f>'[1]eWAT - GC Results (nmol g)'!AG58/1000</f>
        <v>5.5572649587333069</v>
      </c>
      <c r="AH58" s="8">
        <f>'[1]eWAT - GC Results (nmol g)'!AH58/1000</f>
        <v>5.9864202375415418</v>
      </c>
      <c r="AI58" s="9"/>
      <c r="AJ58" s="9"/>
    </row>
    <row r="59" spans="1:36" x14ac:dyDescent="0.2">
      <c r="A59" t="s">
        <v>44</v>
      </c>
      <c r="C59" s="8">
        <f>'[1]eWAT - GC Results (nmol g)'!C59/1000</f>
        <v>0</v>
      </c>
      <c r="D59" s="8">
        <f>'[1]eWAT - GC Results (nmol g)'!D59/1000</f>
        <v>0</v>
      </c>
      <c r="E59" s="8">
        <f>'[1]eWAT - GC Results (nmol g)'!E59/1000</f>
        <v>0</v>
      </c>
      <c r="F59" s="8">
        <f>'[1]eWAT - GC Results (nmol g)'!F59/1000</f>
        <v>0</v>
      </c>
      <c r="G59" s="8">
        <f>'[1]eWAT - GC Results (nmol g)'!G59/1000</f>
        <v>0</v>
      </c>
      <c r="H59" s="8">
        <f>'[1]eWAT - GC Results (nmol g)'!H59/1000</f>
        <v>0</v>
      </c>
      <c r="I59" s="8">
        <f>'[1]eWAT - GC Results (nmol g)'!I59/1000</f>
        <v>0</v>
      </c>
      <c r="J59" s="8">
        <f>'[1]eWAT - GC Results (nmol g)'!J59/1000</f>
        <v>0</v>
      </c>
      <c r="K59" s="8">
        <f>'[1]eWAT - GC Results (nmol g)'!K59/1000</f>
        <v>0</v>
      </c>
      <c r="L59" s="8">
        <f>'[1]eWAT - GC Results (nmol g)'!L59/1000</f>
        <v>0</v>
      </c>
      <c r="M59" s="8"/>
      <c r="N59" s="8">
        <f>'[1]eWAT - GC Results (nmol g)'!N59/1000</f>
        <v>0</v>
      </c>
      <c r="O59" s="8">
        <f>'[1]eWAT - GC Results (nmol g)'!O59/1000</f>
        <v>0</v>
      </c>
      <c r="P59" s="8">
        <f>'[1]eWAT - GC Results (nmol g)'!P59/1000</f>
        <v>0</v>
      </c>
      <c r="Q59" s="8">
        <f>'[1]eWAT - GC Results (nmol g)'!Q59/1000</f>
        <v>0</v>
      </c>
      <c r="R59" s="8">
        <f>'[1]eWAT - GC Results (nmol g)'!R59/1000</f>
        <v>0</v>
      </c>
      <c r="S59" s="8">
        <f>'[1]eWAT - GC Results (nmol g)'!S59/1000</f>
        <v>0</v>
      </c>
      <c r="T59" s="8">
        <f>'[1]eWAT - GC Results (nmol g)'!T59/1000</f>
        <v>0</v>
      </c>
      <c r="U59" s="8">
        <f>'[1]eWAT - GC Results (nmol g)'!U59/1000</f>
        <v>0</v>
      </c>
      <c r="V59" s="8">
        <f>'[1]eWAT - GC Results (nmol g)'!V59/1000</f>
        <v>0</v>
      </c>
      <c r="W59" s="8">
        <f>'[1]eWAT - GC Results (nmol g)'!W59/1000</f>
        <v>0</v>
      </c>
      <c r="X59" s="8"/>
      <c r="Y59" s="8">
        <f>'[1]eWAT - GC Results (nmol g)'!Y59/1000</f>
        <v>0</v>
      </c>
      <c r="Z59" s="8">
        <f>'[1]eWAT - GC Results (nmol g)'!Z59/1000</f>
        <v>0</v>
      </c>
      <c r="AA59" s="8">
        <f>'[1]eWAT - GC Results (nmol g)'!AA59/1000</f>
        <v>0</v>
      </c>
      <c r="AB59" s="8">
        <f>'[1]eWAT - GC Results (nmol g)'!AB59/1000</f>
        <v>0</v>
      </c>
      <c r="AC59" s="8">
        <f>'[1]eWAT - GC Results (nmol g)'!AC59/1000</f>
        <v>0</v>
      </c>
      <c r="AD59" s="8">
        <f>'[1]eWAT - GC Results (nmol g)'!AD59/1000</f>
        <v>0</v>
      </c>
      <c r="AE59" s="8">
        <f>'[1]eWAT - GC Results (nmol g)'!AE59/1000</f>
        <v>0</v>
      </c>
      <c r="AF59" s="8">
        <f>'[1]eWAT - GC Results (nmol g)'!AF59/1000</f>
        <v>0</v>
      </c>
      <c r="AG59" s="8">
        <f>'[1]eWAT - GC Results (nmol g)'!AG59/1000</f>
        <v>0</v>
      </c>
      <c r="AH59" s="8">
        <f>'[1]eWAT - GC Results (nmol g)'!AH59/1000</f>
        <v>0</v>
      </c>
      <c r="AI59" s="9"/>
      <c r="AJ59" s="9"/>
    </row>
    <row r="60" spans="1:36" x14ac:dyDescent="0.2">
      <c r="A60" t="s">
        <v>45</v>
      </c>
      <c r="C60" s="8">
        <f>'[1]eWAT - GC Results (nmol g)'!C60/1000</f>
        <v>0.39996960365832551</v>
      </c>
      <c r="D60" s="8">
        <f>'[1]eWAT - GC Results (nmol g)'!D60/1000</f>
        <v>0.31990475120368822</v>
      </c>
      <c r="E60" s="8">
        <f>'[1]eWAT - GC Results (nmol g)'!E60/1000</f>
        <v>0.50248723163554865</v>
      </c>
      <c r="F60" s="8">
        <f>'[1]eWAT - GC Results (nmol g)'!F60/1000</f>
        <v>0.21397782554343986</v>
      </c>
      <c r="G60" s="8">
        <f>'[1]eWAT - GC Results (nmol g)'!G60/1000</f>
        <v>0.3945706726082075</v>
      </c>
      <c r="H60" s="8">
        <f>'[1]eWAT - GC Results (nmol g)'!H60/1000</f>
        <v>0.37041268838303454</v>
      </c>
      <c r="I60" s="8">
        <f>'[1]eWAT - GC Results (nmol g)'!I60/1000</f>
        <v>0.2880929495801367</v>
      </c>
      <c r="J60" s="8">
        <f>'[1]eWAT - GC Results (nmol g)'!J60/1000</f>
        <v>0.3644238128242322</v>
      </c>
      <c r="K60" s="8">
        <f>'[1]eWAT - GC Results (nmol g)'!K60/1000</f>
        <v>0.25936023658432528</v>
      </c>
      <c r="L60" s="8">
        <f>'[1]eWAT - GC Results (nmol g)'!L60/1000</f>
        <v>0.32188614222885081</v>
      </c>
      <c r="M60" s="8"/>
      <c r="N60" s="8">
        <f>'[1]eWAT - GC Results (nmol g)'!N60/1000</f>
        <v>0.43937670656551991</v>
      </c>
      <c r="O60" s="8">
        <f>'[1]eWAT - GC Results (nmol g)'!O60/1000</f>
        <v>0.39520780292259433</v>
      </c>
      <c r="P60" s="8">
        <f>'[1]eWAT - GC Results (nmol g)'!P60/1000</f>
        <v>0.52339263101552747</v>
      </c>
      <c r="Q60" s="8">
        <f>'[1]eWAT - GC Results (nmol g)'!Q60/1000</f>
        <v>0.47148249963031735</v>
      </c>
      <c r="R60" s="8">
        <f>'[1]eWAT - GC Results (nmol g)'!R60/1000</f>
        <v>0.34075621268979106</v>
      </c>
      <c r="S60" s="8">
        <f>'[1]eWAT - GC Results (nmol g)'!S60/1000</f>
        <v>0.5980550004191354</v>
      </c>
      <c r="T60" s="8">
        <f>'[1]eWAT - GC Results (nmol g)'!T60/1000</f>
        <v>0.23949220824717274</v>
      </c>
      <c r="U60" s="8">
        <f>'[1]eWAT - GC Results (nmol g)'!U60/1000</f>
        <v>0.28166120376101988</v>
      </c>
      <c r="V60" s="8">
        <f>'[1]eWAT - GC Results (nmol g)'!V60/1000</f>
        <v>0.43803329544633085</v>
      </c>
      <c r="W60" s="8">
        <f>'[1]eWAT - GC Results (nmol g)'!W60/1000</f>
        <v>0.28070659271655773</v>
      </c>
      <c r="X60" s="8"/>
      <c r="Y60" s="8">
        <f>'[1]eWAT - GC Results (nmol g)'!Y60/1000</f>
        <v>0.27552718193116454</v>
      </c>
      <c r="Z60" s="8">
        <f>'[1]eWAT - GC Results (nmol g)'!Z60/1000</f>
        <v>0.43741449331373322</v>
      </c>
      <c r="AA60" s="8">
        <f>'[1]eWAT - GC Results (nmol g)'!AA60/1000</f>
        <v>0.27705527782472111</v>
      </c>
      <c r="AB60" s="8">
        <f>'[1]eWAT - GC Results (nmol g)'!AB60/1000</f>
        <v>0.44565294894380603</v>
      </c>
      <c r="AC60" s="8">
        <f>'[1]eWAT - GC Results (nmol g)'!AC60/1000</f>
        <v>0.5182692971466103</v>
      </c>
      <c r="AD60" s="8">
        <f>'[1]eWAT - GC Results (nmol g)'!AD60/1000</f>
        <v>0.26525498074057968</v>
      </c>
      <c r="AE60" s="8">
        <f>'[1]eWAT - GC Results (nmol g)'!AE60/1000</f>
        <v>0.22441141261894049</v>
      </c>
      <c r="AF60" s="8">
        <f>'[1]eWAT - GC Results (nmol g)'!AF60/1000</f>
        <v>0.41900365509435256</v>
      </c>
      <c r="AG60" s="8">
        <f>'[1]eWAT - GC Results (nmol g)'!AG60/1000</f>
        <v>0.57715774313269352</v>
      </c>
      <c r="AH60" s="8">
        <f>'[1]eWAT - GC Results (nmol g)'!AH60/1000</f>
        <v>0.52442513896637144</v>
      </c>
      <c r="AI60" s="9"/>
      <c r="AJ60" s="9"/>
    </row>
    <row r="61" spans="1:36" x14ac:dyDescent="0.2">
      <c r="A61" t="s">
        <v>46</v>
      </c>
      <c r="C61" s="8">
        <f>'[1]eWAT - GC Results (nmol g)'!C61/1000</f>
        <v>0</v>
      </c>
      <c r="D61" s="8">
        <f>'[1]eWAT - GC Results (nmol g)'!D61/1000</f>
        <v>0</v>
      </c>
      <c r="E61" s="8">
        <f>'[1]eWAT - GC Results (nmol g)'!E61/1000</f>
        <v>0</v>
      </c>
      <c r="F61" s="8">
        <f>'[1]eWAT - GC Results (nmol g)'!F61/1000</f>
        <v>0</v>
      </c>
      <c r="G61" s="8">
        <f>'[1]eWAT - GC Results (nmol g)'!G61/1000</f>
        <v>0</v>
      </c>
      <c r="H61" s="8">
        <f>'[1]eWAT - GC Results (nmol g)'!H61/1000</f>
        <v>0</v>
      </c>
      <c r="I61" s="8">
        <f>'[1]eWAT - GC Results (nmol g)'!I61/1000</f>
        <v>0</v>
      </c>
      <c r="J61" s="8">
        <f>'[1]eWAT - GC Results (nmol g)'!J61/1000</f>
        <v>0</v>
      </c>
      <c r="K61" s="8">
        <f>'[1]eWAT - GC Results (nmol g)'!K61/1000</f>
        <v>0</v>
      </c>
      <c r="L61" s="8">
        <f>'[1]eWAT - GC Results (nmol g)'!L61/1000</f>
        <v>0</v>
      </c>
      <c r="M61" s="8"/>
      <c r="N61" s="8">
        <f>'[1]eWAT - GC Results (nmol g)'!N61/1000</f>
        <v>0</v>
      </c>
      <c r="O61" s="8">
        <f>'[1]eWAT - GC Results (nmol g)'!O61/1000</f>
        <v>0</v>
      </c>
      <c r="P61" s="8">
        <f>'[1]eWAT - GC Results (nmol g)'!P61/1000</f>
        <v>0</v>
      </c>
      <c r="Q61" s="8">
        <f>'[1]eWAT - GC Results (nmol g)'!Q61/1000</f>
        <v>0</v>
      </c>
      <c r="R61" s="8">
        <f>'[1]eWAT - GC Results (nmol g)'!R61/1000</f>
        <v>0</v>
      </c>
      <c r="S61" s="8">
        <f>'[1]eWAT - GC Results (nmol g)'!S61/1000</f>
        <v>0</v>
      </c>
      <c r="T61" s="8">
        <f>'[1]eWAT - GC Results (nmol g)'!T61/1000</f>
        <v>0</v>
      </c>
      <c r="U61" s="8">
        <f>'[1]eWAT - GC Results (nmol g)'!U61/1000</f>
        <v>0</v>
      </c>
      <c r="V61" s="8">
        <f>'[1]eWAT - GC Results (nmol g)'!V61/1000</f>
        <v>0</v>
      </c>
      <c r="W61" s="8">
        <f>'[1]eWAT - GC Results (nmol g)'!W61/1000</f>
        <v>0</v>
      </c>
      <c r="X61" s="8"/>
      <c r="Y61" s="8">
        <f>'[1]eWAT - GC Results (nmol g)'!Y61/1000</f>
        <v>0</v>
      </c>
      <c r="Z61" s="8">
        <f>'[1]eWAT - GC Results (nmol g)'!Z61/1000</f>
        <v>0</v>
      </c>
      <c r="AA61" s="8">
        <f>'[1]eWAT - GC Results (nmol g)'!AA61/1000</f>
        <v>0</v>
      </c>
      <c r="AB61" s="8">
        <f>'[1]eWAT - GC Results (nmol g)'!AB61/1000</f>
        <v>0</v>
      </c>
      <c r="AC61" s="8">
        <f>'[1]eWAT - GC Results (nmol g)'!AC61/1000</f>
        <v>0</v>
      </c>
      <c r="AD61" s="8">
        <f>'[1]eWAT - GC Results (nmol g)'!AD61/1000</f>
        <v>0.19189828585145902</v>
      </c>
      <c r="AE61" s="8">
        <f>'[1]eWAT - GC Results (nmol g)'!AE61/1000</f>
        <v>0.1675452965440565</v>
      </c>
      <c r="AF61" s="8">
        <f>'[1]eWAT - GC Results (nmol g)'!AF61/1000</f>
        <v>0.45151835347073671</v>
      </c>
      <c r="AG61" s="8">
        <f>'[1]eWAT - GC Results (nmol g)'!AG61/1000</f>
        <v>0.5515297557615243</v>
      </c>
      <c r="AH61" s="8">
        <f>'[1]eWAT - GC Results (nmol g)'!AH61/1000</f>
        <v>0</v>
      </c>
      <c r="AI61" s="9"/>
      <c r="AJ61" s="9"/>
    </row>
    <row r="62" spans="1:36" x14ac:dyDescent="0.2">
      <c r="A62" t="s">
        <v>47</v>
      </c>
      <c r="C62" s="8">
        <f>'[1]eWAT - GC Results (nmol g)'!C62/1000</f>
        <v>1.152380267955164</v>
      </c>
      <c r="D62" s="8">
        <f>'[1]eWAT - GC Results (nmol g)'!D62/1000</f>
        <v>1.6492242161227921</v>
      </c>
      <c r="E62" s="8">
        <f>'[1]eWAT - GC Results (nmol g)'!E62/1000</f>
        <v>1.3582239057464329</v>
      </c>
      <c r="F62" s="8">
        <f>'[1]eWAT - GC Results (nmol g)'!F62/1000</f>
        <v>1.2197944681056809</v>
      </c>
      <c r="G62" s="8">
        <f>'[1]eWAT - GC Results (nmol g)'!G62/1000</f>
        <v>2.5243645721353589</v>
      </c>
      <c r="H62" s="8">
        <f>'[1]eWAT - GC Results (nmol g)'!H62/1000</f>
        <v>2.1037395382710296</v>
      </c>
      <c r="I62" s="8">
        <f>'[1]eWAT - GC Results (nmol g)'!I62/1000</f>
        <v>1.3616435211689391</v>
      </c>
      <c r="J62" s="8">
        <f>'[1]eWAT - GC Results (nmol g)'!J62/1000</f>
        <v>1.0282710705902263</v>
      </c>
      <c r="K62" s="8">
        <f>'[1]eWAT - GC Results (nmol g)'!K62/1000</f>
        <v>1.0963770103117694</v>
      </c>
      <c r="L62" s="8">
        <f>'[1]eWAT - GC Results (nmol g)'!L62/1000</f>
        <v>1.1897430177811834</v>
      </c>
      <c r="M62" s="8"/>
      <c r="N62" s="8">
        <f>'[1]eWAT - GC Results (nmol g)'!N62/1000</f>
        <v>1.9780136019325008</v>
      </c>
      <c r="O62" s="8">
        <f>'[1]eWAT - GC Results (nmol g)'!O62/1000</f>
        <v>2.8998942262276897</v>
      </c>
      <c r="P62" s="8">
        <f>'[1]eWAT - GC Results (nmol g)'!P62/1000</f>
        <v>2.4358819268593255</v>
      </c>
      <c r="Q62" s="8">
        <f>'[1]eWAT - GC Results (nmol g)'!Q62/1000</f>
        <v>1.7668782413661011</v>
      </c>
      <c r="R62" s="8">
        <f>'[1]eWAT - GC Results (nmol g)'!R62/1000</f>
        <v>2.5411932675320115</v>
      </c>
      <c r="S62" s="8">
        <f>'[1]eWAT - GC Results (nmol g)'!S62/1000</f>
        <v>2.8895155610420211</v>
      </c>
      <c r="T62" s="8">
        <f>'[1]eWAT - GC Results (nmol g)'!T62/1000</f>
        <v>1.9355400717086726</v>
      </c>
      <c r="U62" s="8">
        <f>'[1]eWAT - GC Results (nmol g)'!U62/1000</f>
        <v>1.3616526803450737</v>
      </c>
      <c r="V62" s="8">
        <f>'[1]eWAT - GC Results (nmol g)'!V62/1000</f>
        <v>1.9788634546926354</v>
      </c>
      <c r="W62" s="8">
        <f>'[1]eWAT - GC Results (nmol g)'!W62/1000</f>
        <v>1.6101419224943063</v>
      </c>
      <c r="X62" s="8"/>
      <c r="Y62" s="8">
        <f>'[1]eWAT - GC Results (nmol g)'!Y62/1000</f>
        <v>2.1566942686053023</v>
      </c>
      <c r="Z62" s="8">
        <f>'[1]eWAT - GC Results (nmol g)'!Z62/1000</f>
        <v>2.346933974835228</v>
      </c>
      <c r="AA62" s="8">
        <f>'[1]eWAT - GC Results (nmol g)'!AA62/1000</f>
        <v>1.7005695753300989</v>
      </c>
      <c r="AB62" s="8">
        <f>'[1]eWAT - GC Results (nmol g)'!AB62/1000</f>
        <v>1.9251870068054975</v>
      </c>
      <c r="AC62" s="8">
        <f>'[1]eWAT - GC Results (nmol g)'!AC62/1000</f>
        <v>1.9714596887583264</v>
      </c>
      <c r="AD62" s="8">
        <f>'[1]eWAT - GC Results (nmol g)'!AD62/1000</f>
        <v>1.464557221675163</v>
      </c>
      <c r="AE62" s="8">
        <f>'[1]eWAT - GC Results (nmol g)'!AE62/1000</f>
        <v>2.0190751451166049</v>
      </c>
      <c r="AF62" s="8">
        <f>'[1]eWAT - GC Results (nmol g)'!AF62/1000</f>
        <v>2.6225917401874459</v>
      </c>
      <c r="AG62" s="8">
        <f>'[1]eWAT - GC Results (nmol g)'!AG62/1000</f>
        <v>3.1750756285654513</v>
      </c>
      <c r="AH62" s="8">
        <f>'[1]eWAT - GC Results (nmol g)'!AH62/1000</f>
        <v>3.4620918271716654</v>
      </c>
      <c r="AI62" s="9"/>
      <c r="AJ62" s="9"/>
    </row>
    <row r="63" spans="1:36" x14ac:dyDescent="0.2">
      <c r="A63" s="3"/>
      <c r="B63" s="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9"/>
      <c r="AJ63" s="9"/>
    </row>
    <row r="64" spans="1:36" x14ac:dyDescent="0.2">
      <c r="A64" s="10" t="s">
        <v>48</v>
      </c>
      <c r="B64" s="3"/>
      <c r="C64" s="11">
        <f>SUM(C48:C62)</f>
        <v>1463.8706263981337</v>
      </c>
      <c r="D64" s="11">
        <f t="shared" ref="D64:AH64" si="2">SUM(D48:D62)</f>
        <v>1526.7659301006574</v>
      </c>
      <c r="E64" s="11">
        <f t="shared" si="2"/>
        <v>2176.7452172254211</v>
      </c>
      <c r="F64" s="11">
        <f t="shared" si="2"/>
        <v>1520.8322562606545</v>
      </c>
      <c r="G64" s="11">
        <f t="shared" si="2"/>
        <v>1675.8830625786297</v>
      </c>
      <c r="H64" s="11">
        <f t="shared" si="2"/>
        <v>1870.1950865023521</v>
      </c>
      <c r="I64" s="11">
        <f t="shared" si="2"/>
        <v>1820.4531762554013</v>
      </c>
      <c r="J64" s="11">
        <f t="shared" si="2"/>
        <v>1522.0592862043202</v>
      </c>
      <c r="K64" s="11">
        <f t="shared" si="2"/>
        <v>1678.0624467017874</v>
      </c>
      <c r="L64" s="11">
        <f t="shared" si="2"/>
        <v>1709.1239965098473</v>
      </c>
      <c r="M64" s="11"/>
      <c r="N64" s="11">
        <f t="shared" si="2"/>
        <v>1764.2277307331233</v>
      </c>
      <c r="O64" s="11">
        <f t="shared" si="2"/>
        <v>2109.9881350296296</v>
      </c>
      <c r="P64" s="11">
        <f t="shared" si="2"/>
        <v>1659.9569360969058</v>
      </c>
      <c r="Q64" s="11">
        <f t="shared" si="2"/>
        <v>2145.0274364591978</v>
      </c>
      <c r="R64" s="11">
        <f t="shared" si="2"/>
        <v>1638.9412108857455</v>
      </c>
      <c r="S64" s="11">
        <f t="shared" si="2"/>
        <v>2546.2477036833184</v>
      </c>
      <c r="T64" s="11">
        <f t="shared" si="2"/>
        <v>1284.2733967688425</v>
      </c>
      <c r="U64" s="11">
        <f t="shared" si="2"/>
        <v>1489.5245129504297</v>
      </c>
      <c r="V64" s="11">
        <f t="shared" si="2"/>
        <v>1696.0715173264066</v>
      </c>
      <c r="W64" s="11">
        <f t="shared" si="2"/>
        <v>1266.2207247186673</v>
      </c>
      <c r="X64" s="11"/>
      <c r="Y64" s="11">
        <f t="shared" si="2"/>
        <v>1582.1137665598708</v>
      </c>
      <c r="Z64" s="11">
        <f t="shared" si="2"/>
        <v>1911.1048096723932</v>
      </c>
      <c r="AA64" s="11">
        <f t="shared" si="2"/>
        <v>1360.740052763741</v>
      </c>
      <c r="AB64" s="11">
        <f t="shared" si="2"/>
        <v>1710.3032081998026</v>
      </c>
      <c r="AC64" s="11">
        <f t="shared" si="2"/>
        <v>1978.9008973130917</v>
      </c>
      <c r="AD64" s="11">
        <f t="shared" si="2"/>
        <v>1321.5712708436929</v>
      </c>
      <c r="AE64" s="11">
        <f t="shared" si="2"/>
        <v>1731.4931366534463</v>
      </c>
      <c r="AF64" s="11">
        <f t="shared" si="2"/>
        <v>2372.3006389499228</v>
      </c>
      <c r="AG64" s="11">
        <f t="shared" si="2"/>
        <v>2672.4531609963124</v>
      </c>
      <c r="AH64" s="11">
        <f t="shared" si="2"/>
        <v>2175.8153252054672</v>
      </c>
      <c r="AI64" s="11"/>
      <c r="AJ64" s="11"/>
    </row>
    <row r="65" spans="1:34" x14ac:dyDescent="0.2">
      <c r="A65" s="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</sheetData>
  <mergeCells count="10">
    <mergeCell ref="A42:B42"/>
    <mergeCell ref="A46:B46"/>
    <mergeCell ref="A63:B63"/>
    <mergeCell ref="A64:B64"/>
    <mergeCell ref="A1:B1"/>
    <mergeCell ref="A2:B2"/>
    <mergeCell ref="A19:B19"/>
    <mergeCell ref="A20:B20"/>
    <mergeCell ref="A24:B24"/>
    <mergeCell ref="A41:B4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9D9D-F8F1-144C-A28F-CA51855B8F5E}">
  <dimension ref="A1:AJ65"/>
  <sheetViews>
    <sheetView zoomScale="130" zoomScaleNormal="130" workbookViewId="0">
      <pane xSplit="2" ySplit="1" topLeftCell="H23" activePane="bottomRight" state="frozenSplit"/>
      <selection pane="topRight" activeCell="C1" sqref="C1"/>
      <selection pane="bottomLeft" activeCell="A2" sqref="A2"/>
      <selection pane="bottomRight" activeCell="O38" sqref="O38"/>
    </sheetView>
  </sheetViews>
  <sheetFormatPr baseColWidth="10" defaultColWidth="8.83203125" defaultRowHeight="15" x14ac:dyDescent="0.2"/>
  <cols>
    <col min="2" max="2" width="31.1640625" customWidth="1"/>
    <col min="3" max="9" width="12.6640625" bestFit="1" customWidth="1"/>
    <col min="10" max="10" width="11.83203125" customWidth="1"/>
    <col min="11" max="11" width="12" customWidth="1"/>
    <col min="12" max="12" width="10.5" customWidth="1"/>
    <col min="13" max="13" width="10.5" bestFit="1" customWidth="1"/>
    <col min="14" max="17" width="12.6640625" bestFit="1" customWidth="1"/>
    <col min="18" max="18" width="10" customWidth="1"/>
    <col min="19" max="19" width="10.83203125" customWidth="1"/>
    <col min="20" max="20" width="10.5" customWidth="1"/>
    <col min="21" max="22" width="10.83203125" customWidth="1"/>
    <col min="23" max="23" width="11" customWidth="1"/>
    <col min="24" max="24" width="9.6640625" bestFit="1" customWidth="1"/>
    <col min="25" max="27" width="10.5" customWidth="1"/>
    <col min="28" max="28" width="11.1640625" customWidth="1"/>
    <col min="29" max="30" width="10.6640625" customWidth="1"/>
    <col min="31" max="31" width="10.83203125" customWidth="1"/>
    <col min="32" max="32" width="10.1640625" customWidth="1"/>
    <col min="33" max="34" width="10.33203125" customWidth="1"/>
  </cols>
  <sheetData>
    <row r="1" spans="1:36" ht="22" x14ac:dyDescent="0.3">
      <c r="A1" s="1" t="s">
        <v>82</v>
      </c>
      <c r="B1" s="1"/>
    </row>
    <row r="2" spans="1:36" ht="16" x14ac:dyDescent="0.2">
      <c r="A2" s="2" t="s">
        <v>1</v>
      </c>
      <c r="B2" s="3"/>
    </row>
    <row r="3" spans="1:36" x14ac:dyDescent="0.2">
      <c r="A3" s="4" t="s">
        <v>2</v>
      </c>
      <c r="B3" s="4"/>
      <c r="C3" s="5" t="s">
        <v>81</v>
      </c>
      <c r="D3" s="5" t="s">
        <v>80</v>
      </c>
      <c r="E3" s="5" t="s">
        <v>79</v>
      </c>
      <c r="F3" s="5" t="s">
        <v>78</v>
      </c>
      <c r="G3" s="5" t="s">
        <v>77</v>
      </c>
      <c r="H3" s="5" t="s">
        <v>76</v>
      </c>
      <c r="I3" s="5" t="s">
        <v>75</v>
      </c>
      <c r="J3" s="5" t="s">
        <v>74</v>
      </c>
      <c r="K3" s="5" t="s">
        <v>73</v>
      </c>
      <c r="L3" s="5" t="s">
        <v>72</v>
      </c>
      <c r="M3" s="7"/>
      <c r="N3" s="5" t="s">
        <v>71</v>
      </c>
      <c r="O3" s="5" t="s">
        <v>70</v>
      </c>
      <c r="P3" s="5" t="s">
        <v>69</v>
      </c>
      <c r="Q3" s="5" t="s">
        <v>68</v>
      </c>
      <c r="R3" s="5" t="s">
        <v>67</v>
      </c>
      <c r="S3" s="5" t="s">
        <v>66</v>
      </c>
      <c r="T3" s="5" t="s">
        <v>65</v>
      </c>
      <c r="U3" s="5"/>
      <c r="V3" s="5" t="s">
        <v>63</v>
      </c>
      <c r="W3" s="5" t="s">
        <v>62</v>
      </c>
      <c r="X3" s="7"/>
      <c r="Y3" s="5" t="s">
        <v>61</v>
      </c>
      <c r="Z3" s="5" t="s">
        <v>60</v>
      </c>
      <c r="AA3" s="5" t="s">
        <v>59</v>
      </c>
      <c r="AB3" s="5" t="s">
        <v>58</v>
      </c>
      <c r="AC3" s="5" t="s">
        <v>57</v>
      </c>
      <c r="AD3" s="5" t="s">
        <v>56</v>
      </c>
      <c r="AE3" s="5" t="s">
        <v>55</v>
      </c>
      <c r="AF3" s="5" t="s">
        <v>54</v>
      </c>
      <c r="AG3" s="5" t="s">
        <v>53</v>
      </c>
      <c r="AH3" s="5" t="s">
        <v>52</v>
      </c>
      <c r="AI3" s="7"/>
      <c r="AJ3" s="7"/>
    </row>
    <row r="4" spans="1:36" x14ac:dyDescent="0.2">
      <c r="A4" t="s">
        <v>33</v>
      </c>
      <c r="C4" s="18">
        <f>'[2]iWAT - GC Results (nmol g)'!C4/1000</f>
        <v>2.2705397409242184E-2</v>
      </c>
      <c r="D4" s="18">
        <f>'[2]iWAT - GC Results (nmol g)'!D4/1000</f>
        <v>2.7137087015942946E-2</v>
      </c>
      <c r="E4" s="18">
        <f>'[2]iWAT - GC Results (nmol g)'!E4/1000</f>
        <v>2.5540931666788197E-2</v>
      </c>
      <c r="F4" s="18">
        <f>'[2]iWAT - GC Results (nmol g)'!F4/1000</f>
        <v>3.0165226306961695E-2</v>
      </c>
      <c r="G4" s="18">
        <f>'[2]iWAT - GC Results (nmol g)'!G4/1000</f>
        <v>2.1869975091550163E-2</v>
      </c>
      <c r="H4" s="18">
        <f>'[2]iWAT - GC Results (nmol g)'!H4/1000</f>
        <v>1.8373186496348802E-2</v>
      </c>
      <c r="I4" s="18">
        <f>'[2]iWAT - GC Results (nmol g)'!I4/1000</f>
        <v>2.5043048314953159E-2</v>
      </c>
      <c r="J4" s="18">
        <f>'[2]iWAT - GC Results (nmol g)'!J4/1000</f>
        <v>1.2756737562030766E-2</v>
      </c>
      <c r="K4" s="18">
        <f>'[2]iWAT - GC Results (nmol g)'!K4/1000</f>
        <v>2.9075155394433463E-2</v>
      </c>
      <c r="L4" s="18">
        <f>'[2]iWAT - GC Results (nmol g)'!L4/1000</f>
        <v>2.0267907805512089E-2</v>
      </c>
      <c r="M4" s="18"/>
      <c r="N4" s="18">
        <f>'[2]iWAT - GC Results (nmol g)'!N4/1000</f>
        <v>1.6111130328928268E-2</v>
      </c>
      <c r="O4" s="18">
        <f>'[2]iWAT - GC Results (nmol g)'!O4/1000</f>
        <v>1.2777715994477036E-2</v>
      </c>
      <c r="P4" s="18">
        <f>'[2]iWAT - GC Results (nmol g)'!P4/1000</f>
        <v>1.7432051267345806E-2</v>
      </c>
      <c r="Q4" s="18">
        <f>'[2]iWAT - GC Results (nmol g)'!Q4/1000</f>
        <v>2.0562164564474926E-2</v>
      </c>
      <c r="R4" s="18">
        <f>'[2]iWAT - GC Results (nmol g)'!R4/1000</f>
        <v>2.3916613089597985E-2</v>
      </c>
      <c r="S4" s="18">
        <f>'[2]iWAT - GC Results (nmol g)'!S4/1000</f>
        <v>1.0496243160859235E-2</v>
      </c>
      <c r="T4" s="18">
        <f>'[2]iWAT - GC Results (nmol g)'!T4/1000</f>
        <v>1.2065776293496025E-2</v>
      </c>
      <c r="U4" s="18"/>
      <c r="V4" s="18">
        <f>'[2]iWAT - GC Results (nmol g)'!V4/1000</f>
        <v>1.378412154743497E-2</v>
      </c>
      <c r="W4" s="18">
        <f>'[2]iWAT - GC Results (nmol g)'!W4/1000</f>
        <v>2.1605283357144688E-2</v>
      </c>
      <c r="X4" s="18"/>
      <c r="Y4" s="18">
        <f>'[2]iWAT - GC Results (nmol g)'!Y4/1000</f>
        <v>1.3357360059466097E-2</v>
      </c>
      <c r="Z4" s="18">
        <f>'[2]iWAT - GC Results (nmol g)'!Z4/1000</f>
        <v>1.2993104848809575E-2</v>
      </c>
      <c r="AA4" s="18">
        <f>'[2]iWAT - GC Results (nmol g)'!AA4/1000</f>
        <v>1.1042638519763079E-2</v>
      </c>
      <c r="AB4" s="18">
        <f>'[2]iWAT - GC Results (nmol g)'!AB4/1000</f>
        <v>1.4096108870932886E-2</v>
      </c>
      <c r="AC4" s="18">
        <f>'[2]iWAT - GC Results (nmol g)'!AC4/1000</f>
        <v>1.1390253077696155E-2</v>
      </c>
      <c r="AD4" s="18">
        <f>'[2]iWAT - GC Results (nmol g)'!AD4/1000</f>
        <v>1.5331563715761092E-2</v>
      </c>
      <c r="AE4" s="18">
        <f>'[2]iWAT - GC Results (nmol g)'!AE4/1000</f>
        <v>1.6939810405119698E-2</v>
      </c>
      <c r="AF4" s="18">
        <f>'[2]iWAT - GC Results (nmol g)'!AF4/1000</f>
        <v>1.175643133650278E-2</v>
      </c>
      <c r="AG4" s="18">
        <f>'[2]iWAT - GC Results (nmol g)'!AG4/1000</f>
        <v>1.7096986534785728E-2</v>
      </c>
      <c r="AH4" s="18">
        <f>'[2]iWAT - GC Results (nmol g)'!AH4/1000</f>
        <v>1.4257966797592383E-2</v>
      </c>
      <c r="AI4" s="9"/>
      <c r="AJ4" s="9"/>
    </row>
    <row r="5" spans="1:36" x14ac:dyDescent="0.2">
      <c r="A5" t="s">
        <v>34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9"/>
      <c r="AJ5" s="9"/>
    </row>
    <row r="6" spans="1:36" x14ac:dyDescent="0.2">
      <c r="A6" t="s">
        <v>35</v>
      </c>
      <c r="C6" s="18">
        <f>'[2]iWAT - GC Results (nmol g)'!C6/1000</f>
        <v>0.36395079633884037</v>
      </c>
      <c r="D6" s="18">
        <f>'[2]iWAT - GC Results (nmol g)'!D6/1000</f>
        <v>0.45547874381700604</v>
      </c>
      <c r="E6" s="18">
        <f>'[2]iWAT - GC Results (nmol g)'!E6/1000</f>
        <v>0.29476941468529255</v>
      </c>
      <c r="F6" s="18">
        <f>'[2]iWAT - GC Results (nmol g)'!F6/1000</f>
        <v>0.38884428865717091</v>
      </c>
      <c r="G6" s="18">
        <f>'[2]iWAT - GC Results (nmol g)'!G6/1000</f>
        <v>0.24478644564393509</v>
      </c>
      <c r="H6" s="18">
        <f>'[2]iWAT - GC Results (nmol g)'!H6/1000</f>
        <v>0.2536325038899635</v>
      </c>
      <c r="I6" s="18">
        <f>'[2]iWAT - GC Results (nmol g)'!I6/1000</f>
        <v>0.42094935974093839</v>
      </c>
      <c r="J6" s="18">
        <f>'[2]iWAT - GC Results (nmol g)'!J6/1000</f>
        <v>0.17597023678199167</v>
      </c>
      <c r="K6" s="18">
        <f>'[2]iWAT - GC Results (nmol g)'!K6/1000</f>
        <v>0.42701946427149406</v>
      </c>
      <c r="L6" s="18">
        <f>'[2]iWAT - GC Results (nmol g)'!L6/1000</f>
        <v>0.16351583770083025</v>
      </c>
      <c r="M6" s="18"/>
      <c r="N6" s="18">
        <f>'[2]iWAT - GC Results (nmol g)'!N6/1000</f>
        <v>0.25590903450527386</v>
      </c>
      <c r="O6" s="18">
        <f>'[2]iWAT - GC Results (nmol g)'!O6/1000</f>
        <v>0.14125648420530748</v>
      </c>
      <c r="P6" s="18">
        <f>'[2]iWAT - GC Results (nmol g)'!P6/1000</f>
        <v>0.16402712801095615</v>
      </c>
      <c r="Q6" s="18">
        <f>'[2]iWAT - GC Results (nmol g)'!Q6/1000</f>
        <v>0.23425058388233308</v>
      </c>
      <c r="R6" s="18">
        <f>'[2]iWAT - GC Results (nmol g)'!R6/1000</f>
        <v>0.26615972760219586</v>
      </c>
      <c r="S6" s="18">
        <f>'[2]iWAT - GC Results (nmol g)'!S6/1000</f>
        <v>0.12270282241019032</v>
      </c>
      <c r="T6" s="18">
        <f>'[2]iWAT - GC Results (nmol g)'!T6/1000</f>
        <v>0.10831872010204135</v>
      </c>
      <c r="U6" s="18"/>
      <c r="V6" s="18">
        <f>'[2]iWAT - GC Results (nmol g)'!V6/1000</f>
        <v>0.1756647781072356</v>
      </c>
      <c r="W6" s="18">
        <f>'[2]iWAT - GC Results (nmol g)'!W6/1000</f>
        <v>0.17757205423252143</v>
      </c>
      <c r="X6" s="18"/>
      <c r="Y6" s="18">
        <f>'[2]iWAT - GC Results (nmol g)'!Y6/1000</f>
        <v>0.1559523033332946</v>
      </c>
      <c r="Z6" s="18">
        <f>'[2]iWAT - GC Results (nmol g)'!Z6/1000</f>
        <v>0.144314995488835</v>
      </c>
      <c r="AA6" s="18">
        <f>'[2]iWAT - GC Results (nmol g)'!AA6/1000</f>
        <v>0.11270536814025088</v>
      </c>
      <c r="AB6" s="18">
        <f>'[2]iWAT - GC Results (nmol g)'!AB6/1000</f>
        <v>0.12511022147367046</v>
      </c>
      <c r="AC6" s="18">
        <f>'[2]iWAT - GC Results (nmol g)'!AC6/1000</f>
        <v>9.6542854188416696E-2</v>
      </c>
      <c r="AD6" s="18">
        <f>'[2]iWAT - GC Results (nmol g)'!AD6/1000</f>
        <v>0.12201339638743981</v>
      </c>
      <c r="AE6" s="18">
        <f>'[2]iWAT - GC Results (nmol g)'!AE6/1000</f>
        <v>0.1864549119244244</v>
      </c>
      <c r="AF6" s="18">
        <f>'[2]iWAT - GC Results (nmol g)'!AF6/1000</f>
        <v>0.11899593227376756</v>
      </c>
      <c r="AG6" s="18">
        <f>'[2]iWAT - GC Results (nmol g)'!AG6/1000</f>
        <v>0.2429345318477428</v>
      </c>
      <c r="AH6" s="18">
        <f>'[2]iWAT - GC Results (nmol g)'!AH6/1000</f>
        <v>0.21493162742625638</v>
      </c>
      <c r="AI6" s="9"/>
      <c r="AJ6" s="9"/>
    </row>
    <row r="7" spans="1:36" x14ac:dyDescent="0.2">
      <c r="A7" t="s">
        <v>36</v>
      </c>
      <c r="C7" s="18">
        <f>'[2]iWAT - GC Results (nmol g)'!C7/1000</f>
        <v>3.6235293878117997E-2</v>
      </c>
      <c r="D7" s="18">
        <f>'[2]iWAT - GC Results (nmol g)'!D7/1000</f>
        <v>4.3382762529889207E-2</v>
      </c>
      <c r="E7" s="18">
        <f>'[2]iWAT - GC Results (nmol g)'!E7/1000</f>
        <v>4.811902242697378E-2</v>
      </c>
      <c r="F7" s="18">
        <f>'[2]iWAT - GC Results (nmol g)'!F7/1000</f>
        <v>5.405045491056492E-2</v>
      </c>
      <c r="G7" s="18">
        <f>'[2]iWAT - GC Results (nmol g)'!G7/1000</f>
        <v>3.2476934431768065E-2</v>
      </c>
      <c r="H7" s="18">
        <f>'[2]iWAT - GC Results (nmol g)'!H7/1000</f>
        <v>4.4926960500410472E-2</v>
      </c>
      <c r="I7" s="18">
        <f>'[2]iWAT - GC Results (nmol g)'!I7/1000</f>
        <v>4.5187000923087833E-2</v>
      </c>
      <c r="J7" s="18">
        <f>'[2]iWAT - GC Results (nmol g)'!J7/1000</f>
        <v>3.0409030056949664E-2</v>
      </c>
      <c r="K7" s="18">
        <f>'[2]iWAT - GC Results (nmol g)'!K7/1000</f>
        <v>6.8164840931684512E-2</v>
      </c>
      <c r="L7" s="18">
        <f>'[2]iWAT - GC Results (nmol g)'!L7/1000</f>
        <v>3.1373587939141891E-2</v>
      </c>
      <c r="M7" s="18"/>
      <c r="N7" s="18">
        <f>'[2]iWAT - GC Results (nmol g)'!N7/1000</f>
        <v>3.5119696743744509E-2</v>
      </c>
      <c r="O7" s="18">
        <f>'[2]iWAT - GC Results (nmol g)'!O7/1000</f>
        <v>2.5143985050634324E-2</v>
      </c>
      <c r="P7" s="18">
        <f>'[2]iWAT - GC Results (nmol g)'!P7/1000</f>
        <v>2.2681486462734407E-2</v>
      </c>
      <c r="Q7" s="18">
        <f>'[2]iWAT - GC Results (nmol g)'!Q7/1000</f>
        <v>1.9123674168741018E-2</v>
      </c>
      <c r="R7" s="18">
        <f>'[2]iWAT - GC Results (nmol g)'!R7/1000</f>
        <v>3.0553968969117235E-2</v>
      </c>
      <c r="S7" s="18">
        <f>'[2]iWAT - GC Results (nmol g)'!S7/1000</f>
        <v>1.5361835525571218E-2</v>
      </c>
      <c r="T7" s="18">
        <f>'[2]iWAT - GC Results (nmol g)'!T7/1000</f>
        <v>1.4048362164266647E-2</v>
      </c>
      <c r="U7" s="18"/>
      <c r="V7" s="18">
        <f>'[2]iWAT - GC Results (nmol g)'!V7/1000</f>
        <v>2.0875051758279518E-2</v>
      </c>
      <c r="W7" s="18">
        <f>'[2]iWAT - GC Results (nmol g)'!W7/1000</f>
        <v>2.8767693291387165E-2</v>
      </c>
      <c r="X7" s="18"/>
      <c r="Y7" s="18">
        <f>'[2]iWAT - GC Results (nmol g)'!Y7/1000</f>
        <v>1.5427082778336616E-2</v>
      </c>
      <c r="Z7" s="18">
        <f>'[2]iWAT - GC Results (nmol g)'!Z7/1000</f>
        <v>1.736498533870609E-2</v>
      </c>
      <c r="AA7" s="18">
        <f>'[2]iWAT - GC Results (nmol g)'!AA7/1000</f>
        <v>2.6142118633482425E-2</v>
      </c>
      <c r="AB7" s="18">
        <f>'[2]iWAT - GC Results (nmol g)'!AB7/1000</f>
        <v>1.9541313437818647E-2</v>
      </c>
      <c r="AC7" s="18">
        <f>'[2]iWAT - GC Results (nmol g)'!AC7/1000</f>
        <v>1.4970186652595648E-2</v>
      </c>
      <c r="AD7" s="18">
        <f>'[2]iWAT - GC Results (nmol g)'!AD7/1000</f>
        <v>1.6022452978571647E-2</v>
      </c>
      <c r="AE7" s="18">
        <f>'[2]iWAT - GC Results (nmol g)'!AE7/1000</f>
        <v>1.9066244857691813E-2</v>
      </c>
      <c r="AF7" s="18">
        <f>'[2]iWAT - GC Results (nmol g)'!AF7/1000</f>
        <v>1.2696237784806299E-2</v>
      </c>
      <c r="AG7" s="18">
        <f>'[2]iWAT - GC Results (nmol g)'!AG7/1000</f>
        <v>4.5822537957968465E-2</v>
      </c>
      <c r="AH7" s="18">
        <f>'[2]iWAT - GC Results (nmol g)'!AH7/1000</f>
        <v>3.8688754988630496E-2</v>
      </c>
      <c r="AI7" s="9"/>
      <c r="AJ7" s="9"/>
    </row>
    <row r="8" spans="1:36" x14ac:dyDescent="0.2">
      <c r="A8" t="s">
        <v>37</v>
      </c>
      <c r="C8" s="18">
        <f>'[2]iWAT - GC Results (nmol g)'!C8/1000</f>
        <v>0.18736166853948816</v>
      </c>
      <c r="D8" s="18">
        <f>'[2]iWAT - GC Results (nmol g)'!D8/1000</f>
        <v>0.19242233205614986</v>
      </c>
      <c r="E8" s="18">
        <f>'[2]iWAT - GC Results (nmol g)'!E8/1000</f>
        <v>0.13187690643688957</v>
      </c>
      <c r="F8" s="18">
        <f>'[2]iWAT - GC Results (nmol g)'!F8/1000</f>
        <v>0.16158580395992855</v>
      </c>
      <c r="G8" s="18">
        <f>'[2]iWAT - GC Results (nmol g)'!G8/1000</f>
        <v>0.13005014343366414</v>
      </c>
      <c r="H8" s="18">
        <f>'[2]iWAT - GC Results (nmol g)'!H8/1000</f>
        <v>0.13009000783564431</v>
      </c>
      <c r="I8" s="18">
        <f>'[2]iWAT - GC Results (nmol g)'!I8/1000</f>
        <v>0.19576125859694471</v>
      </c>
      <c r="J8" s="18">
        <f>'[2]iWAT - GC Results (nmol g)'!J8/1000</f>
        <v>9.3988727529975072E-2</v>
      </c>
      <c r="K8" s="18">
        <f>'[2]iWAT - GC Results (nmol g)'!K8/1000</f>
        <v>0.15313287986660631</v>
      </c>
      <c r="L8" s="18">
        <f>'[2]iWAT - GC Results (nmol g)'!L8/1000</f>
        <v>9.3218504519834433E-2</v>
      </c>
      <c r="M8" s="18"/>
      <c r="N8" s="18">
        <f>'[2]iWAT - GC Results (nmol g)'!N8/1000</f>
        <v>0.1078797565500907</v>
      </c>
      <c r="O8" s="18">
        <f>'[2]iWAT - GC Results (nmol g)'!O8/1000</f>
        <v>7.6301444589656112E-2</v>
      </c>
      <c r="P8" s="18">
        <f>'[2]iWAT - GC Results (nmol g)'!P8/1000</f>
        <v>8.717930910903797E-2</v>
      </c>
      <c r="Q8" s="18">
        <f>'[2]iWAT - GC Results (nmol g)'!Q8/1000</f>
        <v>0.12741221047586518</v>
      </c>
      <c r="R8" s="18">
        <f>'[2]iWAT - GC Results (nmol g)'!R8/1000</f>
        <v>0.15029189314944846</v>
      </c>
      <c r="S8" s="18">
        <f>'[2]iWAT - GC Results (nmol g)'!S8/1000</f>
        <v>7.3096766091952342E-2</v>
      </c>
      <c r="T8" s="18">
        <f>'[2]iWAT - GC Results (nmol g)'!T8/1000</f>
        <v>6.4504324208299255E-2</v>
      </c>
      <c r="U8" s="18"/>
      <c r="V8" s="18">
        <f>'[2]iWAT - GC Results (nmol g)'!V8/1000</f>
        <v>9.6343575512375657E-2</v>
      </c>
      <c r="W8" s="18">
        <f>'[2]iWAT - GC Results (nmol g)'!W8/1000</f>
        <v>0.1206006924784228</v>
      </c>
      <c r="X8" s="18"/>
      <c r="Y8" s="18">
        <f>'[2]iWAT - GC Results (nmol g)'!Y8/1000</f>
        <v>8.3053743267230057E-2</v>
      </c>
      <c r="Z8" s="18">
        <f>'[2]iWAT - GC Results (nmol g)'!Z8/1000</f>
        <v>7.5714017502660547E-2</v>
      </c>
      <c r="AA8" s="18">
        <f>'[2]iWAT - GC Results (nmol g)'!AA8/1000</f>
        <v>6.3979683735418513E-2</v>
      </c>
      <c r="AB8" s="18">
        <f>'[2]iWAT - GC Results (nmol g)'!AB8/1000</f>
        <v>7.5141509907991302E-2</v>
      </c>
      <c r="AC8" s="18">
        <f>'[2]iWAT - GC Results (nmol g)'!AC8/1000</f>
        <v>6.4553313696434134E-2</v>
      </c>
      <c r="AD8" s="18">
        <f>'[2]iWAT - GC Results (nmol g)'!AD8/1000</f>
        <v>9.0035802912829921E-2</v>
      </c>
      <c r="AE8" s="18">
        <f>'[2]iWAT - GC Results (nmol g)'!AE8/1000</f>
        <v>0.10955030980038748</v>
      </c>
      <c r="AF8" s="18">
        <f>'[2]iWAT - GC Results (nmol g)'!AF8/1000</f>
        <v>8.5246702596858473E-2</v>
      </c>
      <c r="AG8" s="18">
        <f>'[2]iWAT - GC Results (nmol g)'!AG8/1000</f>
        <v>7.7658641461869321E-2</v>
      </c>
      <c r="AH8" s="18">
        <f>'[2]iWAT - GC Results (nmol g)'!AH8/1000</f>
        <v>7.3999518905027192E-2</v>
      </c>
      <c r="AI8" s="9"/>
      <c r="AJ8" s="9"/>
    </row>
    <row r="9" spans="1:36" x14ac:dyDescent="0.2">
      <c r="A9" t="s">
        <v>38</v>
      </c>
      <c r="C9" s="18">
        <f>'[2]iWAT - GC Results (nmol g)'!C9/1000</f>
        <v>0.13436578357373141</v>
      </c>
      <c r="D9" s="18">
        <f>'[2]iWAT - GC Results (nmol g)'!D9/1000</f>
        <v>0.23155308941125663</v>
      </c>
      <c r="E9" s="18">
        <f>'[2]iWAT - GC Results (nmol g)'!E9/1000</f>
        <v>0.1563030417579252</v>
      </c>
      <c r="F9" s="18">
        <f>'[2]iWAT - GC Results (nmol g)'!F9/1000</f>
        <v>0.23231465961055597</v>
      </c>
      <c r="G9" s="18">
        <f>'[2]iWAT - GC Results (nmol g)'!G9/1000</f>
        <v>0.12059057792040956</v>
      </c>
      <c r="H9" s="18">
        <f>'[2]iWAT - GC Results (nmol g)'!H9/1000</f>
        <v>0.17908310949634221</v>
      </c>
      <c r="I9" s="18">
        <f>'[2]iWAT - GC Results (nmol g)'!I9/1000</f>
        <v>0.3279489191735977</v>
      </c>
      <c r="J9" s="18">
        <f>'[2]iWAT - GC Results (nmol g)'!J9/1000</f>
        <v>0.14691006495109321</v>
      </c>
      <c r="K9" s="18">
        <f>'[2]iWAT - GC Results (nmol g)'!K9/1000</f>
        <v>0.37164004455626443</v>
      </c>
      <c r="L9" s="18">
        <f>'[2]iWAT - GC Results (nmol g)'!L9/1000</f>
        <v>7.4695560617931353E-2</v>
      </c>
      <c r="M9" s="18"/>
      <c r="N9" s="18">
        <f>'[2]iWAT - GC Results (nmol g)'!N9/1000</f>
        <v>0.1870859378464057</v>
      </c>
      <c r="O9" s="18">
        <f>'[2]iWAT - GC Results (nmol g)'!O9/1000</f>
        <v>8.6459372091372874E-2</v>
      </c>
      <c r="P9" s="18">
        <f>'[2]iWAT - GC Results (nmol g)'!P9/1000</f>
        <v>4.9849439486005044E-2</v>
      </c>
      <c r="Q9" s="18">
        <f>'[2]iWAT - GC Results (nmol g)'!Q9/1000</f>
        <v>7.3226928031932523E-2</v>
      </c>
      <c r="R9" s="18">
        <f>'[2]iWAT - GC Results (nmol g)'!R9/1000</f>
        <v>6.9379749848382383E-2</v>
      </c>
      <c r="S9" s="18">
        <f>'[2]iWAT - GC Results (nmol g)'!S9/1000</f>
        <v>8.6117573768041536E-2</v>
      </c>
      <c r="T9" s="18">
        <f>'[2]iWAT - GC Results (nmol g)'!T9/1000</f>
        <v>5.3061041340806553E-2</v>
      </c>
      <c r="U9" s="18"/>
      <c r="V9" s="18">
        <f>'[2]iWAT - GC Results (nmol g)'!V9/1000</f>
        <v>8.8972561955366347E-2</v>
      </c>
      <c r="W9" s="18">
        <f>'[2]iWAT - GC Results (nmol g)'!W9/1000</f>
        <v>6.5810335825966085E-2</v>
      </c>
      <c r="X9" s="18"/>
      <c r="Y9" s="18">
        <f>'[2]iWAT - GC Results (nmol g)'!Y9/1000</f>
        <v>4.2834016577796091E-2</v>
      </c>
      <c r="Z9" s="18">
        <f>'[2]iWAT - GC Results (nmol g)'!Z9/1000</f>
        <v>5.7310428126364103E-2</v>
      </c>
      <c r="AA9" s="18">
        <f>'[2]iWAT - GC Results (nmol g)'!AA9/1000</f>
        <v>4.9989582587051065E-2</v>
      </c>
      <c r="AB9" s="18">
        <f>'[2]iWAT - GC Results (nmol g)'!AB9/1000</f>
        <v>5.2385362113908721E-2</v>
      </c>
      <c r="AC9" s="18">
        <f>'[2]iWAT - GC Results (nmol g)'!AC9/1000</f>
        <v>3.2474704177521609E-2</v>
      </c>
      <c r="AD9" s="18">
        <f>'[2]iWAT - GC Results (nmol g)'!AD9/1000</f>
        <v>3.6686677799868769E-2</v>
      </c>
      <c r="AE9" s="18">
        <f>'[2]iWAT - GC Results (nmol g)'!AE9/1000</f>
        <v>4.0562792541985533E-2</v>
      </c>
      <c r="AF9" s="18">
        <f>'[2]iWAT - GC Results (nmol g)'!AF9/1000</f>
        <v>3.2069748981687768E-2</v>
      </c>
      <c r="AG9" s="18">
        <f>'[2]iWAT - GC Results (nmol g)'!AG9/1000</f>
        <v>0.26749885027726095</v>
      </c>
      <c r="AH9" s="18">
        <f>'[2]iWAT - GC Results (nmol g)'!AH9/1000</f>
        <v>0.23925263408780484</v>
      </c>
      <c r="AI9" s="9"/>
      <c r="AJ9" s="9"/>
    </row>
    <row r="10" spans="1:36" x14ac:dyDescent="0.2">
      <c r="A10" t="s">
        <v>39</v>
      </c>
      <c r="C10" s="18">
        <f>'[2]iWAT - GC Results (nmol g)'!C10/1000</f>
        <v>7.4337570835117286E-2</v>
      </c>
      <c r="D10" s="18">
        <f>'[2]iWAT - GC Results (nmol g)'!D10/1000</f>
        <v>3.4789645320501814E-2</v>
      </c>
      <c r="E10" s="18">
        <f>'[2]iWAT - GC Results (nmol g)'!E10/1000</f>
        <v>3.2875674784629855E-2</v>
      </c>
      <c r="F10" s="18">
        <f>'[2]iWAT - GC Results (nmol g)'!F10/1000</f>
        <v>3.5764233304339414E-2</v>
      </c>
      <c r="G10" s="18">
        <f>'[2]iWAT - GC Results (nmol g)'!G10/1000</f>
        <v>1.0239883497813693E-2</v>
      </c>
      <c r="H10" s="18">
        <f>'[2]iWAT - GC Results (nmol g)'!H10/1000</f>
        <v>2.8502542922163417E-2</v>
      </c>
      <c r="I10" s="18">
        <f>'[2]iWAT - GC Results (nmol g)'!I10/1000</f>
        <v>4.7938365101851385E-2</v>
      </c>
      <c r="J10" s="18">
        <f>'[2]iWAT - GC Results (nmol g)'!J10/1000</f>
        <v>4.508845442780688E-2</v>
      </c>
      <c r="K10" s="18">
        <f>'[2]iWAT - GC Results (nmol g)'!K10/1000</f>
        <v>9.1057255059656186E-2</v>
      </c>
      <c r="L10" s="18">
        <f>'[2]iWAT - GC Results (nmol g)'!L10/1000</f>
        <v>1.6012618830558104E-2</v>
      </c>
      <c r="M10" s="18"/>
      <c r="N10" s="18">
        <f>'[2]iWAT - GC Results (nmol g)'!N10/1000</f>
        <v>4.1427993573739746E-2</v>
      </c>
      <c r="O10" s="18">
        <f>'[2]iWAT - GC Results (nmol g)'!O10/1000</f>
        <v>2.0808462190199405E-2</v>
      </c>
      <c r="P10" s="18">
        <f>'[2]iWAT - GC Results (nmol g)'!P10/1000</f>
        <v>9.1098256424313045E-3</v>
      </c>
      <c r="Q10" s="18">
        <f>'[2]iWAT - GC Results (nmol g)'!Q10/1000</f>
        <v>3.9406248795818624E-2</v>
      </c>
      <c r="R10" s="18">
        <f>'[2]iWAT - GC Results (nmol g)'!R10/1000</f>
        <v>9.465616592048795E-3</v>
      </c>
      <c r="S10" s="18">
        <f>'[2]iWAT - GC Results (nmol g)'!S10/1000</f>
        <v>1.9785463650163707E-2</v>
      </c>
      <c r="T10" s="18">
        <f>'[2]iWAT - GC Results (nmol g)'!T10/1000</f>
        <v>9.6815627790968421E-3</v>
      </c>
      <c r="U10" s="18"/>
      <c r="V10" s="18">
        <f>'[2]iWAT - GC Results (nmol g)'!V10/1000</f>
        <v>1.1459255250403875E-2</v>
      </c>
      <c r="W10" s="18">
        <f>'[2]iWAT - GC Results (nmol g)'!W10/1000</f>
        <v>1.0514302907729619E-2</v>
      </c>
      <c r="X10" s="18"/>
      <c r="Y10" s="18">
        <f>'[2]iWAT - GC Results (nmol g)'!Y10/1000</f>
        <v>3.6617621132492974E-3</v>
      </c>
      <c r="Z10" s="18">
        <f>'[2]iWAT - GC Results (nmol g)'!Z10/1000</f>
        <v>7.6876272562564603E-3</v>
      </c>
      <c r="AA10" s="18">
        <f>'[2]iWAT - GC Results (nmol g)'!AA10/1000</f>
        <v>1.0518952066941024E-2</v>
      </c>
      <c r="AB10" s="18">
        <f>'[2]iWAT - GC Results (nmol g)'!AB10/1000</f>
        <v>6.8904966880527505E-3</v>
      </c>
      <c r="AC10" s="18">
        <f>'[2]iWAT - GC Results (nmol g)'!AC10/1000</f>
        <v>6.6983177839012532E-4</v>
      </c>
      <c r="AD10" s="18">
        <f>'[2]iWAT - GC Results (nmol g)'!AD10/1000</f>
        <v>8.2327010233517565E-3</v>
      </c>
      <c r="AE10" s="18">
        <f>'[2]iWAT - GC Results (nmol g)'!AE10/1000</f>
        <v>3.5215245547424437E-3</v>
      </c>
      <c r="AF10" s="18">
        <f>'[2]iWAT - GC Results (nmol g)'!AF10/1000</f>
        <v>3.4161790505120504E-3</v>
      </c>
      <c r="AG10" s="18">
        <f>'[2]iWAT - GC Results (nmol g)'!AG10/1000</f>
        <v>8.5754293080908775E-2</v>
      </c>
      <c r="AH10" s="18">
        <f>'[2]iWAT - GC Results (nmol g)'!AH10/1000</f>
        <v>8.8257404294503711E-2</v>
      </c>
      <c r="AI10" s="9"/>
      <c r="AJ10" s="9"/>
    </row>
    <row r="11" spans="1:36" x14ac:dyDescent="0.2">
      <c r="A11" t="s">
        <v>40</v>
      </c>
      <c r="C11" s="18">
        <f>'[2]iWAT - GC Results (nmol g)'!C11/1000</f>
        <v>2.5424000129792457E-2</v>
      </c>
      <c r="D11" s="18">
        <f>'[2]iWAT - GC Results (nmol g)'!D11/1000</f>
        <v>1.5172108124294868E-2</v>
      </c>
      <c r="E11" s="18">
        <f>'[2]iWAT - GC Results (nmol g)'!E11/1000</f>
        <v>1.7541399087357919E-2</v>
      </c>
      <c r="F11" s="18">
        <f>'[2]iWAT - GC Results (nmol g)'!F11/1000</f>
        <v>1.8560391569657778E-2</v>
      </c>
      <c r="G11" s="18">
        <f>'[2]iWAT - GC Results (nmol g)'!G11/1000</f>
        <v>1.4547345587822646E-2</v>
      </c>
      <c r="H11" s="18">
        <f>'[2]iWAT - GC Results (nmol g)'!H11/1000</f>
        <v>1.511143328874417E-2</v>
      </c>
      <c r="I11" s="18">
        <f>'[2]iWAT - GC Results (nmol g)'!I11/1000</f>
        <v>1.5967572827604356E-2</v>
      </c>
      <c r="J11" s="18">
        <f>'[2]iWAT - GC Results (nmol g)'!J11/1000</f>
        <v>1.3324288225017168E-2</v>
      </c>
      <c r="K11" s="18">
        <f>'[2]iWAT - GC Results (nmol g)'!K11/1000</f>
        <v>1.6613382554195408E-2</v>
      </c>
      <c r="L11" s="18">
        <f>'[2]iWAT - GC Results (nmol g)'!L11/1000</f>
        <v>1.3892554150471312E-2</v>
      </c>
      <c r="M11" s="18"/>
      <c r="N11" s="18">
        <f>'[2]iWAT - GC Results (nmol g)'!N11/1000</f>
        <v>1.6486810969680712E-2</v>
      </c>
      <c r="O11" s="18">
        <f>'[2]iWAT - GC Results (nmol g)'!O11/1000</f>
        <v>1.0801307648922235E-2</v>
      </c>
      <c r="P11" s="18">
        <f>'[2]iWAT - GC Results (nmol g)'!P11/1000</f>
        <v>1.3650598317840866E-2</v>
      </c>
      <c r="Q11" s="18">
        <f>'[2]iWAT - GC Results (nmol g)'!Q11/1000</f>
        <v>1.1094588382510298E-2</v>
      </c>
      <c r="R11" s="18">
        <f>'[2]iWAT - GC Results (nmol g)'!R11/1000</f>
        <v>1.8491394309466416E-2</v>
      </c>
      <c r="S11" s="18">
        <f>'[2]iWAT - GC Results (nmol g)'!S11/1000</f>
        <v>1.015799617374593E-2</v>
      </c>
      <c r="T11" s="18">
        <f>'[2]iWAT - GC Results (nmol g)'!T11/1000</f>
        <v>1.0174001833551074E-2</v>
      </c>
      <c r="U11" s="18"/>
      <c r="V11" s="18">
        <f>'[2]iWAT - GC Results (nmol g)'!V11/1000</f>
        <v>1.2865663617213099E-2</v>
      </c>
      <c r="W11" s="18">
        <f>'[2]iWAT - GC Results (nmol g)'!W11/1000</f>
        <v>1.7765109189495237E-2</v>
      </c>
      <c r="X11" s="18"/>
      <c r="Y11" s="18">
        <f>'[2]iWAT - GC Results (nmol g)'!Y11/1000</f>
        <v>9.705738532649482E-3</v>
      </c>
      <c r="Z11" s="18">
        <f>'[2]iWAT - GC Results (nmol g)'!Z11/1000</f>
        <v>1.0844303345129341E-2</v>
      </c>
      <c r="AA11" s="18">
        <f>'[2]iWAT - GC Results (nmol g)'!AA11/1000</f>
        <v>1.1512617616239115E-2</v>
      </c>
      <c r="AB11" s="18">
        <f>'[2]iWAT - GC Results (nmol g)'!AB11/1000</f>
        <v>1.3448464522720758E-2</v>
      </c>
      <c r="AC11" s="18">
        <f>'[2]iWAT - GC Results (nmol g)'!AC11/1000</f>
        <v>1.1212981252873242E-2</v>
      </c>
      <c r="AD11" s="18">
        <f>'[2]iWAT - GC Results (nmol g)'!AD11/1000</f>
        <v>1.2337338887787583E-2</v>
      </c>
      <c r="AE11" s="18">
        <f>'[2]iWAT - GC Results (nmol g)'!AE11/1000</f>
        <v>1.0811099373736394E-2</v>
      </c>
      <c r="AF11" s="18">
        <f>'[2]iWAT - GC Results (nmol g)'!AF11/1000</f>
        <v>1.0368615422262334E-2</v>
      </c>
      <c r="AG11" s="18">
        <f>'[2]iWAT - GC Results (nmol g)'!AG11/1000</f>
        <v>7.5879305493633878E-3</v>
      </c>
      <c r="AH11" s="18">
        <f>'[2]iWAT - GC Results (nmol g)'!AH11/1000</f>
        <v>7.3159826944032948E-3</v>
      </c>
      <c r="AI11" s="9"/>
      <c r="AJ11" s="9"/>
    </row>
    <row r="12" spans="1:36" x14ac:dyDescent="0.2">
      <c r="A12" t="s">
        <v>41</v>
      </c>
      <c r="C12" s="18">
        <f>'[2]iWAT - GC Results (nmol g)'!C12/1000</f>
        <v>1.2865255461205059E-2</v>
      </c>
      <c r="D12" s="18">
        <f>'[2]iWAT - GC Results (nmol g)'!D12/1000</f>
        <v>1.8423638173742065E-2</v>
      </c>
      <c r="E12" s="18">
        <f>'[2]iWAT - GC Results (nmol g)'!E12/1000</f>
        <v>1.1927804446363339E-2</v>
      </c>
      <c r="F12" s="18">
        <f>'[2]iWAT - GC Results (nmol g)'!F12/1000</f>
        <v>1.6538608758016968E-2</v>
      </c>
      <c r="G12" s="18">
        <f>'[2]iWAT - GC Results (nmol g)'!G12/1000</f>
        <v>8.5659099872842665E-3</v>
      </c>
      <c r="H12" s="18">
        <f>'[2]iWAT - GC Results (nmol g)'!H12/1000</f>
        <v>1.2892451148784614E-2</v>
      </c>
      <c r="I12" s="18">
        <f>'[2]iWAT - GC Results (nmol g)'!I12/1000</f>
        <v>1.2957906914658066E-2</v>
      </c>
      <c r="J12" s="18">
        <f>'[2]iWAT - GC Results (nmol g)'!J12/1000</f>
        <v>1.130742831966512E-2</v>
      </c>
      <c r="K12" s="18">
        <f>'[2]iWAT - GC Results (nmol g)'!K12/1000</f>
        <v>1.4674268368675166E-2</v>
      </c>
      <c r="L12" s="18">
        <f>'[2]iWAT - GC Results (nmol g)'!L12/1000</f>
        <v>1.1839433362805511E-2</v>
      </c>
      <c r="M12" s="18"/>
      <c r="N12" s="18">
        <f>'[2]iWAT - GC Results (nmol g)'!N12/1000</f>
        <v>1.1898054796962822E-2</v>
      </c>
      <c r="O12" s="18">
        <f>'[2]iWAT - GC Results (nmol g)'!O12/1000</f>
        <v>8.3726005563034434E-3</v>
      </c>
      <c r="P12" s="18">
        <f>'[2]iWAT - GC Results (nmol g)'!P12/1000</f>
        <v>1.1054030129741342E-2</v>
      </c>
      <c r="Q12" s="18">
        <f>'[2]iWAT - GC Results (nmol g)'!Q12/1000</f>
        <v>9.1984860454686658E-3</v>
      </c>
      <c r="R12" s="18">
        <f>'[2]iWAT - GC Results (nmol g)'!R12/1000</f>
        <v>8.010448247578723E-3</v>
      </c>
      <c r="S12" s="18">
        <f>'[2]iWAT - GC Results (nmol g)'!S12/1000</f>
        <v>9.4821877077278429E-3</v>
      </c>
      <c r="T12" s="18">
        <f>'[2]iWAT - GC Results (nmol g)'!T12/1000</f>
        <v>7.29644944244392E-3</v>
      </c>
      <c r="U12" s="18"/>
      <c r="V12" s="18">
        <f>'[2]iWAT - GC Results (nmol g)'!V12/1000</f>
        <v>7.6442156271807338E-3</v>
      </c>
      <c r="W12" s="18">
        <f>'[2]iWAT - GC Results (nmol g)'!W12/1000</f>
        <v>9.2196590547059462E-3</v>
      </c>
      <c r="X12" s="18"/>
      <c r="Y12" s="18">
        <f>'[2]iWAT - GC Results (nmol g)'!Y12/1000</f>
        <v>5.6540484548251082E-3</v>
      </c>
      <c r="Z12" s="18">
        <f>'[2]iWAT - GC Results (nmol g)'!Z12/1000</f>
        <v>7.3307197552173933E-3</v>
      </c>
      <c r="AA12" s="18">
        <f>'[2]iWAT - GC Results (nmol g)'!AA12/1000</f>
        <v>1.0142183542424722E-2</v>
      </c>
      <c r="AB12" s="18">
        <f>'[2]iWAT - GC Results (nmol g)'!AB12/1000</f>
        <v>7.5543935405696198E-3</v>
      </c>
      <c r="AC12" s="18">
        <f>'[2]iWAT - GC Results (nmol g)'!AC12/1000</f>
        <v>7.4702022001254063E-3</v>
      </c>
      <c r="AD12" s="18">
        <f>'[2]iWAT - GC Results (nmol g)'!AD12/1000</f>
        <v>8.317660084415401E-3</v>
      </c>
      <c r="AE12" s="18">
        <f>'[2]iWAT - GC Results (nmol g)'!AE12/1000</f>
        <v>7.6961408431354718E-3</v>
      </c>
      <c r="AF12" s="18">
        <f>'[2]iWAT - GC Results (nmol g)'!AF12/1000</f>
        <v>5.803122432614668E-3</v>
      </c>
      <c r="AG12" s="18">
        <f>'[2]iWAT - GC Results (nmol g)'!AG12/1000</f>
        <v>9.4045616240883284E-3</v>
      </c>
      <c r="AH12" s="18">
        <f>'[2]iWAT - GC Results (nmol g)'!AH12/1000</f>
        <v>9.3065304934994448E-3</v>
      </c>
      <c r="AI12" s="9"/>
      <c r="AJ12" s="9"/>
    </row>
    <row r="13" spans="1:36" x14ac:dyDescent="0.2">
      <c r="A13" t="s">
        <v>42</v>
      </c>
      <c r="C13" s="18">
        <f>'[2]iWAT - GC Results (nmol g)'!C13/1000</f>
        <v>2.5830094624486124E-2</v>
      </c>
      <c r="D13" s="18">
        <f>'[2]iWAT - GC Results (nmol g)'!D13/1000</f>
        <v>2.7994284970680811E-2</v>
      </c>
      <c r="E13" s="18">
        <f>'[2]iWAT - GC Results (nmol g)'!E13/1000</f>
        <v>2.8637967802803449E-2</v>
      </c>
      <c r="F13" s="18">
        <f>'[2]iWAT - GC Results (nmol g)'!F13/1000</f>
        <v>3.3002232262369917E-2</v>
      </c>
      <c r="G13" s="18">
        <f>'[2]iWAT - GC Results (nmol g)'!G13/1000</f>
        <v>2.5813079543567916E-2</v>
      </c>
      <c r="H13" s="18">
        <f>'[2]iWAT - GC Results (nmol g)'!H13/1000</f>
        <v>2.1358309269135047E-2</v>
      </c>
      <c r="I13" s="18">
        <f>'[2]iWAT - GC Results (nmol g)'!I13/1000</f>
        <v>2.8587734707910942E-2</v>
      </c>
      <c r="J13" s="18">
        <f>'[2]iWAT - GC Results (nmol g)'!J13/1000</f>
        <v>1.7031161521960887E-2</v>
      </c>
      <c r="K13" s="18">
        <f>'[2]iWAT - GC Results (nmol g)'!K13/1000</f>
        <v>2.6223501898641137E-2</v>
      </c>
      <c r="L13" s="18">
        <f>'[2]iWAT - GC Results (nmol g)'!L13/1000</f>
        <v>2.1959378239169217E-2</v>
      </c>
      <c r="M13" s="18"/>
      <c r="N13" s="18">
        <f>'[2]iWAT - GC Results (nmol g)'!N13/1000</f>
        <v>2.2932004790059416E-2</v>
      </c>
      <c r="O13" s="18">
        <f>'[2]iWAT - GC Results (nmol g)'!O13/1000</f>
        <v>2.2381016789661708E-2</v>
      </c>
      <c r="P13" s="18">
        <f>'[2]iWAT - GC Results (nmol g)'!P13/1000</f>
        <v>2.0670510841487976E-2</v>
      </c>
      <c r="Q13" s="18">
        <f>'[2]iWAT - GC Results (nmol g)'!Q13/1000</f>
        <v>1.982157662383097E-2</v>
      </c>
      <c r="R13" s="18">
        <f>'[2]iWAT - GC Results (nmol g)'!R13/1000</f>
        <v>2.9985405593894107E-2</v>
      </c>
      <c r="S13" s="18">
        <f>'[2]iWAT - GC Results (nmol g)'!S13/1000</f>
        <v>1.8634386694667781E-2</v>
      </c>
      <c r="T13" s="18">
        <f>'[2]iWAT - GC Results (nmol g)'!T13/1000</f>
        <v>1.878573199959014E-2</v>
      </c>
      <c r="U13" s="18"/>
      <c r="V13" s="18">
        <f>'[2]iWAT - GC Results (nmol g)'!V13/1000</f>
        <v>1.6864508536881755E-2</v>
      </c>
      <c r="W13" s="18">
        <f>'[2]iWAT - GC Results (nmol g)'!W13/1000</f>
        <v>2.6360226382596191E-2</v>
      </c>
      <c r="X13" s="18"/>
      <c r="Y13" s="18">
        <f>'[2]iWAT - GC Results (nmol g)'!Y13/1000</f>
        <v>1.8384364256566314E-2</v>
      </c>
      <c r="Z13" s="18">
        <f>'[2]iWAT - GC Results (nmol g)'!Z13/1000</f>
        <v>1.5984401992289132E-2</v>
      </c>
      <c r="AA13" s="18">
        <f>'[2]iWAT - GC Results (nmol g)'!AA13/1000</f>
        <v>1.8486937690290108E-2</v>
      </c>
      <c r="AB13" s="18">
        <f>'[2]iWAT - GC Results (nmol g)'!AB13/1000</f>
        <v>1.8819640410864581E-2</v>
      </c>
      <c r="AC13" s="18">
        <f>'[2]iWAT - GC Results (nmol g)'!AC13/1000</f>
        <v>1.8111397291491187E-2</v>
      </c>
      <c r="AD13" s="18">
        <f>'[2]iWAT - GC Results (nmol g)'!AD13/1000</f>
        <v>1.5461605809883951E-2</v>
      </c>
      <c r="AE13" s="18">
        <f>'[2]iWAT - GC Results (nmol g)'!AE13/1000</f>
        <v>1.8936083874165833E-2</v>
      </c>
      <c r="AF13" s="18">
        <f>'[2]iWAT - GC Results (nmol g)'!AF13/1000</f>
        <v>1.7191520290781928E-2</v>
      </c>
      <c r="AG13" s="18">
        <f>'[2]iWAT - GC Results (nmol g)'!AG13/1000</f>
        <v>1.2501614143381976E-2</v>
      </c>
      <c r="AH13" s="18">
        <f>'[2]iWAT - GC Results (nmol g)'!AH13/1000</f>
        <v>1.3503468881887149E-2</v>
      </c>
      <c r="AI13" s="9"/>
      <c r="AJ13" s="9"/>
    </row>
    <row r="14" spans="1:36" x14ac:dyDescent="0.2">
      <c r="A14" t="s">
        <v>43</v>
      </c>
      <c r="C14" s="18">
        <f>'[2]iWAT - GC Results (nmol g)'!C14/1000</f>
        <v>2.1482990473748104E-2</v>
      </c>
      <c r="D14" s="18">
        <f>'[2]iWAT - GC Results (nmol g)'!D14/1000</f>
        <v>1.777782223093442E-2</v>
      </c>
      <c r="E14" s="18">
        <f>'[2]iWAT - GC Results (nmol g)'!E14/1000</f>
        <v>1.825039357439677E-2</v>
      </c>
      <c r="F14" s="18">
        <f>'[2]iWAT - GC Results (nmol g)'!F14/1000</f>
        <v>2.420508627031235E-2</v>
      </c>
      <c r="G14" s="18">
        <f>'[2]iWAT - GC Results (nmol g)'!G14/1000</f>
        <v>1.5047918840593092E-2</v>
      </c>
      <c r="H14" s="18">
        <f>'[2]iWAT - GC Results (nmol g)'!H14/1000</f>
        <v>1.720614877462338E-2</v>
      </c>
      <c r="I14" s="18">
        <f>'[2]iWAT - GC Results (nmol g)'!I14/1000</f>
        <v>1.6591136630980666E-2</v>
      </c>
      <c r="J14" s="18">
        <f>'[2]iWAT - GC Results (nmol g)'!J14/1000</f>
        <v>1.0779811968731172E-2</v>
      </c>
      <c r="K14" s="18">
        <f>'[2]iWAT - GC Results (nmol g)'!K14/1000</f>
        <v>2.1029376280298214E-2</v>
      </c>
      <c r="L14" s="18">
        <f>'[2]iWAT - GC Results (nmol g)'!L14/1000</f>
        <v>2.1107022964624647E-2</v>
      </c>
      <c r="M14" s="18"/>
      <c r="N14" s="18">
        <f>'[2]iWAT - GC Results (nmol g)'!N14/1000</f>
        <v>1.9079395779681343E-2</v>
      </c>
      <c r="O14" s="18">
        <f>'[2]iWAT - GC Results (nmol g)'!O14/1000</f>
        <v>1.3234316131524969E-2</v>
      </c>
      <c r="P14" s="18">
        <f>'[2]iWAT - GC Results (nmol g)'!P14/1000</f>
        <v>1.1511009883881648E-2</v>
      </c>
      <c r="Q14" s="18">
        <f>'[2]iWAT - GC Results (nmol g)'!Q14/1000</f>
        <v>1.4041845812036415E-2</v>
      </c>
      <c r="R14" s="18">
        <f>'[2]iWAT - GC Results (nmol g)'!R14/1000</f>
        <v>1.9760419821509563E-2</v>
      </c>
      <c r="S14" s="18">
        <f>'[2]iWAT - GC Results (nmol g)'!S14/1000</f>
        <v>1.0916793051953047E-2</v>
      </c>
      <c r="T14" s="18">
        <f>'[2]iWAT - GC Results (nmol g)'!T14/1000</f>
        <v>1.4265334245491994E-2</v>
      </c>
      <c r="U14" s="18"/>
      <c r="V14" s="18">
        <f>'[2]iWAT - GC Results (nmol g)'!V14/1000</f>
        <v>1.57826044648176E-2</v>
      </c>
      <c r="W14" s="18">
        <f>'[2]iWAT - GC Results (nmol g)'!W14/1000</f>
        <v>1.7205896131792294E-2</v>
      </c>
      <c r="X14" s="18"/>
      <c r="Y14" s="18">
        <f>'[2]iWAT - GC Results (nmol g)'!Y14/1000</f>
        <v>8.4276745026894851E-3</v>
      </c>
      <c r="Z14" s="18">
        <f>'[2]iWAT - GC Results (nmol g)'!Z14/1000</f>
        <v>8.6060494535893546E-3</v>
      </c>
      <c r="AA14" s="18">
        <f>'[2]iWAT - GC Results (nmol g)'!AA14/1000</f>
        <v>1.1850104108665584E-2</v>
      </c>
      <c r="AB14" s="18">
        <f>'[2]iWAT - GC Results (nmol g)'!AB14/1000</f>
        <v>1.1200501311145E-2</v>
      </c>
      <c r="AC14" s="18">
        <f>'[2]iWAT - GC Results (nmol g)'!AC14/1000</f>
        <v>8.6424609093956571E-3</v>
      </c>
      <c r="AD14" s="18">
        <f>'[2]iWAT - GC Results (nmol g)'!AD14/1000</f>
        <v>1.8776850988473967E-2</v>
      </c>
      <c r="AE14" s="18">
        <f>'[2]iWAT - GC Results (nmol g)'!AE14/1000</f>
        <v>1.0620413675996048E-2</v>
      </c>
      <c r="AF14" s="18">
        <f>'[2]iWAT - GC Results (nmol g)'!AF14/1000</f>
        <v>1.5682484138769971E-2</v>
      </c>
      <c r="AG14" s="18">
        <f>'[2]iWAT - GC Results (nmol g)'!AG14/1000</f>
        <v>8.5773428068998576E-3</v>
      </c>
      <c r="AH14" s="18">
        <f>'[2]iWAT - GC Results (nmol g)'!AH14/1000</f>
        <v>7.624536295656922E-3</v>
      </c>
      <c r="AI14" s="9"/>
      <c r="AJ14" s="9"/>
    </row>
    <row r="15" spans="1:36" x14ac:dyDescent="0.2">
      <c r="A15" t="s">
        <v>44</v>
      </c>
      <c r="C15" s="18">
        <f>'[2]iWAT - GC Results (nmol g)'!C15/1000</f>
        <v>4.4152350978029352E-2</v>
      </c>
      <c r="D15" s="18">
        <f>'[2]iWAT - GC Results (nmol g)'!D15/1000</f>
        <v>4.2388961627143125E-2</v>
      </c>
      <c r="E15" s="18">
        <f>'[2]iWAT - GC Results (nmol g)'!E15/1000</f>
        <v>3.7884161418801056E-2</v>
      </c>
      <c r="F15" s="18">
        <f>'[2]iWAT - GC Results (nmol g)'!F15/1000</f>
        <v>3.9661732426099529E-2</v>
      </c>
      <c r="G15" s="18">
        <f>'[2]iWAT - GC Results (nmol g)'!G15/1000</f>
        <v>3.1766130346916124E-2</v>
      </c>
      <c r="H15" s="18">
        <f>'[2]iWAT - GC Results (nmol g)'!H15/1000</f>
        <v>3.3058393962206147E-2</v>
      </c>
      <c r="I15" s="18">
        <f>'[2]iWAT - GC Results (nmol g)'!I15/1000</f>
        <v>3.0315416514244083E-2</v>
      </c>
      <c r="J15" s="18">
        <f>'[2]iWAT - GC Results (nmol g)'!J15/1000</f>
        <v>2.55649055708933E-2</v>
      </c>
      <c r="K15" s="18">
        <f>'[2]iWAT - GC Results (nmol g)'!K15/1000</f>
        <v>3.8957204416455143E-2</v>
      </c>
      <c r="L15" s="18">
        <f>'[2]iWAT - GC Results (nmol g)'!L15/1000</f>
        <v>3.2107183079446558E-2</v>
      </c>
      <c r="M15" s="18"/>
      <c r="N15" s="18">
        <f>'[2]iWAT - GC Results (nmol g)'!N15/1000</f>
        <v>2.7490989995998812E-2</v>
      </c>
      <c r="O15" s="18">
        <f>'[2]iWAT - GC Results (nmol g)'!O15/1000</f>
        <v>2.2532326943379265E-2</v>
      </c>
      <c r="P15" s="18">
        <f>'[2]iWAT - GC Results (nmol g)'!P15/1000</f>
        <v>2.9193656480156257E-2</v>
      </c>
      <c r="Q15" s="18">
        <f>'[2]iWAT - GC Results (nmol g)'!Q15/1000</f>
        <v>3.6213683539694216E-2</v>
      </c>
      <c r="R15" s="18">
        <f>'[2]iWAT - GC Results (nmol g)'!R15/1000</f>
        <v>3.2050926716184994E-2</v>
      </c>
      <c r="S15" s="18">
        <f>'[2]iWAT - GC Results (nmol g)'!S15/1000</f>
        <v>2.6344423715633773E-2</v>
      </c>
      <c r="T15" s="18">
        <f>'[2]iWAT - GC Results (nmol g)'!T15/1000</f>
        <v>1.7068693415687279E-2</v>
      </c>
      <c r="U15" s="18"/>
      <c r="V15" s="18">
        <f>'[2]iWAT - GC Results (nmol g)'!V15/1000</f>
        <v>1.8008678945113647E-2</v>
      </c>
      <c r="W15" s="18">
        <f>'[2]iWAT - GC Results (nmol g)'!W15/1000</f>
        <v>3.2746821558002667E-2</v>
      </c>
      <c r="X15" s="18"/>
      <c r="Y15" s="18">
        <f>'[2]iWAT - GC Results (nmol g)'!Y15/1000</f>
        <v>1.948907595220677E-2</v>
      </c>
      <c r="Z15" s="18">
        <f>'[2]iWAT - GC Results (nmol g)'!Z15/1000</f>
        <v>2.239659981704974E-2</v>
      </c>
      <c r="AA15" s="18">
        <f>'[2]iWAT - GC Results (nmol g)'!AA15/1000</f>
        <v>2.2167489443995859E-2</v>
      </c>
      <c r="AB15" s="18">
        <f>'[2]iWAT - GC Results (nmol g)'!AB15/1000</f>
        <v>2.2756912766157808E-2</v>
      </c>
      <c r="AC15" s="18">
        <f>'[2]iWAT - GC Results (nmol g)'!AC15/1000</f>
        <v>2.0903926938267106E-2</v>
      </c>
      <c r="AD15" s="18">
        <f>'[2]iWAT - GC Results (nmol g)'!AD15/1000</f>
        <v>2.5032842766191266E-2</v>
      </c>
      <c r="AE15" s="18">
        <f>'[2]iWAT - GC Results (nmol g)'!AE15/1000</f>
        <v>2.5843705525391569E-2</v>
      </c>
      <c r="AF15" s="18">
        <f>'[2]iWAT - GC Results (nmol g)'!AF15/1000</f>
        <v>2.1491019279143809E-2</v>
      </c>
      <c r="AG15" s="18">
        <f>'[2]iWAT - GC Results (nmol g)'!AG15/1000</f>
        <v>1.3120203268877341E-2</v>
      </c>
      <c r="AH15" s="18">
        <f>'[2]iWAT - GC Results (nmol g)'!AH15/1000</f>
        <v>1.3794239631127695E-2</v>
      </c>
      <c r="AI15" s="9"/>
      <c r="AJ15" s="9"/>
    </row>
    <row r="16" spans="1:36" x14ac:dyDescent="0.2">
      <c r="A16" t="s">
        <v>45</v>
      </c>
      <c r="C16" s="18">
        <f>'[2]iWAT - GC Results (nmol g)'!C16/1000</f>
        <v>0</v>
      </c>
      <c r="D16" s="18">
        <f>'[2]iWAT - GC Results (nmol g)'!D16/1000</f>
        <v>0</v>
      </c>
      <c r="E16" s="18">
        <f>'[2]iWAT - GC Results (nmol g)'!E16/1000</f>
        <v>0</v>
      </c>
      <c r="F16" s="18">
        <f>'[2]iWAT - GC Results (nmol g)'!F16/1000</f>
        <v>0</v>
      </c>
      <c r="G16" s="18">
        <f>'[2]iWAT - GC Results (nmol g)'!G16/1000</f>
        <v>0</v>
      </c>
      <c r="H16" s="18">
        <f>'[2]iWAT - GC Results (nmol g)'!H16/1000</f>
        <v>0</v>
      </c>
      <c r="I16" s="18">
        <f>'[2]iWAT - GC Results (nmol g)'!I16/1000</f>
        <v>0</v>
      </c>
      <c r="J16" s="18">
        <f>'[2]iWAT - GC Results (nmol g)'!J16/1000</f>
        <v>0</v>
      </c>
      <c r="K16" s="18">
        <f>'[2]iWAT - GC Results (nmol g)'!K16/1000</f>
        <v>0</v>
      </c>
      <c r="L16" s="18">
        <f>'[2]iWAT - GC Results (nmol g)'!L16/1000</f>
        <v>0</v>
      </c>
      <c r="M16" s="18"/>
      <c r="N16" s="18">
        <f>'[2]iWAT - GC Results (nmol g)'!N16/1000</f>
        <v>0</v>
      </c>
      <c r="O16" s="18">
        <f>'[2]iWAT - GC Results (nmol g)'!O16/1000</f>
        <v>0</v>
      </c>
      <c r="P16" s="18">
        <f>'[2]iWAT - GC Results (nmol g)'!P16/1000</f>
        <v>0</v>
      </c>
      <c r="Q16" s="18">
        <f>'[2]iWAT - GC Results (nmol g)'!Q16/1000</f>
        <v>0</v>
      </c>
      <c r="R16" s="18">
        <f>'[2]iWAT - GC Results (nmol g)'!R16/1000</f>
        <v>0</v>
      </c>
      <c r="S16" s="18">
        <f>'[2]iWAT - GC Results (nmol g)'!S16/1000</f>
        <v>0</v>
      </c>
      <c r="T16" s="18">
        <f>'[2]iWAT - GC Results (nmol g)'!T16/1000</f>
        <v>0</v>
      </c>
      <c r="U16" s="18"/>
      <c r="V16" s="18">
        <f>'[2]iWAT - GC Results (nmol g)'!V16/1000</f>
        <v>0</v>
      </c>
      <c r="W16" s="18">
        <f>'[2]iWAT - GC Results (nmol g)'!W16/1000</f>
        <v>0</v>
      </c>
      <c r="X16" s="18"/>
      <c r="Y16" s="18">
        <f>'[2]iWAT - GC Results (nmol g)'!Y16/1000</f>
        <v>0</v>
      </c>
      <c r="Z16" s="18">
        <f>'[2]iWAT - GC Results (nmol g)'!Z16/1000</f>
        <v>0</v>
      </c>
      <c r="AA16" s="18">
        <f>'[2]iWAT - GC Results (nmol g)'!AA16/1000</f>
        <v>0</v>
      </c>
      <c r="AB16" s="18">
        <f>'[2]iWAT - GC Results (nmol g)'!AB16/1000</f>
        <v>0</v>
      </c>
      <c r="AC16" s="18">
        <f>'[2]iWAT - GC Results (nmol g)'!AC16/1000</f>
        <v>0</v>
      </c>
      <c r="AD16" s="18">
        <f>'[2]iWAT - GC Results (nmol g)'!AD16/1000</f>
        <v>0</v>
      </c>
      <c r="AE16" s="18">
        <f>'[2]iWAT - GC Results (nmol g)'!AE16/1000</f>
        <v>0</v>
      </c>
      <c r="AF16" s="18">
        <f>'[2]iWAT - GC Results (nmol g)'!AF16/1000</f>
        <v>0</v>
      </c>
      <c r="AG16" s="18">
        <f>'[2]iWAT - GC Results (nmol g)'!AG16/1000</f>
        <v>0</v>
      </c>
      <c r="AH16" s="18">
        <f>'[2]iWAT - GC Results (nmol g)'!AH16/1000</f>
        <v>0</v>
      </c>
      <c r="AI16" s="9"/>
      <c r="AJ16" s="9"/>
    </row>
    <row r="17" spans="1:36" x14ac:dyDescent="0.2">
      <c r="A17" t="s">
        <v>46</v>
      </c>
      <c r="C17" s="18">
        <f>'[2]iWAT - GC Results (nmol g)'!C17/1000</f>
        <v>3.417636472562454E-2</v>
      </c>
      <c r="D17" s="18">
        <f>'[2]iWAT - GC Results (nmol g)'!D17/1000</f>
        <v>4.0482720880378513E-2</v>
      </c>
      <c r="E17" s="18">
        <f>'[2]iWAT - GC Results (nmol g)'!E17/1000</f>
        <v>4.6620269928647158E-2</v>
      </c>
      <c r="F17" s="18">
        <f>'[2]iWAT - GC Results (nmol g)'!F17/1000</f>
        <v>4.7939249606277337E-2</v>
      </c>
      <c r="G17" s="18">
        <f>'[2]iWAT - GC Results (nmol g)'!G17/1000</f>
        <v>4.0919241660396281E-2</v>
      </c>
      <c r="H17" s="18">
        <f>'[2]iWAT - GC Results (nmol g)'!H17/1000</f>
        <v>3.3755645596258217E-2</v>
      </c>
      <c r="I17" s="18">
        <f>'[2]iWAT - GC Results (nmol g)'!I17/1000</f>
        <v>3.6190558996952144E-2</v>
      </c>
      <c r="J17" s="18">
        <f>'[2]iWAT - GC Results (nmol g)'!J17/1000</f>
        <v>2.61742441224454E-2</v>
      </c>
      <c r="K17" s="18">
        <f>'[2]iWAT - GC Results (nmol g)'!K17/1000</f>
        <v>4.2451066852839628E-2</v>
      </c>
      <c r="L17" s="18">
        <f>'[2]iWAT - GC Results (nmol g)'!L17/1000</f>
        <v>3.3148450754393814E-2</v>
      </c>
      <c r="M17" s="18"/>
      <c r="N17" s="18">
        <f>'[2]iWAT - GC Results (nmol g)'!N17/1000</f>
        <v>3.3630786347501725E-2</v>
      </c>
      <c r="O17" s="18">
        <f>'[2]iWAT - GC Results (nmol g)'!O17/1000</f>
        <v>2.8731769545022424E-2</v>
      </c>
      <c r="P17" s="18">
        <f>'[2]iWAT - GC Results (nmol g)'!P17/1000</f>
        <v>2.9752991182012575E-2</v>
      </c>
      <c r="Q17" s="18">
        <f>'[2]iWAT - GC Results (nmol g)'!Q17/1000</f>
        <v>2.8612672947534758E-2</v>
      </c>
      <c r="R17" s="18">
        <f>'[2]iWAT - GC Results (nmol g)'!R17/1000</f>
        <v>4.4329745054612624E-2</v>
      </c>
      <c r="S17" s="18">
        <f>'[2]iWAT - GC Results (nmol g)'!S17/1000</f>
        <v>3.0098910888668822E-2</v>
      </c>
      <c r="T17" s="18">
        <f>'[2]iWAT - GC Results (nmol g)'!T17/1000</f>
        <v>2.4290397601271777E-2</v>
      </c>
      <c r="U17" s="18"/>
      <c r="V17" s="18">
        <f>'[2]iWAT - GC Results (nmol g)'!V17/1000</f>
        <v>2.5187050845477309E-2</v>
      </c>
      <c r="W17" s="18">
        <f>'[2]iWAT - GC Results (nmol g)'!W17/1000</f>
        <v>4.0639142688479256E-2</v>
      </c>
      <c r="X17" s="18"/>
      <c r="Y17" s="18">
        <f>'[2]iWAT - GC Results (nmol g)'!Y17/1000</f>
        <v>2.6966618170398814E-2</v>
      </c>
      <c r="Z17" s="18">
        <f>'[2]iWAT - GC Results (nmol g)'!Z17/1000</f>
        <v>2.6577593201595692E-2</v>
      </c>
      <c r="AA17" s="18">
        <f>'[2]iWAT - GC Results (nmol g)'!AA17/1000</f>
        <v>2.800171336080285E-2</v>
      </c>
      <c r="AB17" s="18">
        <f>'[2]iWAT - GC Results (nmol g)'!AB17/1000</f>
        <v>2.8868094704339133E-2</v>
      </c>
      <c r="AC17" s="18">
        <f>'[2]iWAT - GC Results (nmol g)'!AC17/1000</f>
        <v>2.8805666090336288E-2</v>
      </c>
      <c r="AD17" s="18">
        <f>'[2]iWAT - GC Results (nmol g)'!AD17/1000</f>
        <v>2.5891601343957855E-2</v>
      </c>
      <c r="AE17" s="18">
        <f>'[2]iWAT - GC Results (nmol g)'!AE17/1000</f>
        <v>2.7155437435951654E-2</v>
      </c>
      <c r="AF17" s="18">
        <f>'[2]iWAT - GC Results (nmol g)'!AF17/1000</f>
        <v>2.9578397422532918E-2</v>
      </c>
      <c r="AG17" s="18">
        <f>'[2]iWAT - GC Results (nmol g)'!AG17/1000</f>
        <v>1.9986095402208567E-2</v>
      </c>
      <c r="AH17" s="18">
        <f>'[2]iWAT - GC Results (nmol g)'!AH17/1000</f>
        <v>2.154074928107708E-2</v>
      </c>
      <c r="AI17" s="9"/>
      <c r="AJ17" s="9"/>
    </row>
    <row r="18" spans="1:36" x14ac:dyDescent="0.2">
      <c r="A18" t="s">
        <v>47</v>
      </c>
      <c r="C18" s="18">
        <f>'[2]iWAT - GC Results (nmol g)'!C18/1000</f>
        <v>0</v>
      </c>
      <c r="D18" s="18">
        <f>'[2]iWAT - GC Results (nmol g)'!D18/1000</f>
        <v>0</v>
      </c>
      <c r="E18" s="18">
        <f>'[2]iWAT - GC Results (nmol g)'!E18/1000</f>
        <v>0</v>
      </c>
      <c r="F18" s="18">
        <f>'[2]iWAT - GC Results (nmol g)'!F18/1000</f>
        <v>0</v>
      </c>
      <c r="G18" s="18">
        <f>'[2]iWAT - GC Results (nmol g)'!G18/1000</f>
        <v>0</v>
      </c>
      <c r="H18" s="18">
        <f>'[2]iWAT - GC Results (nmol g)'!H18/1000</f>
        <v>0</v>
      </c>
      <c r="I18" s="18">
        <f>'[2]iWAT - GC Results (nmol g)'!I18/1000</f>
        <v>0</v>
      </c>
      <c r="J18" s="18">
        <f>'[2]iWAT - GC Results (nmol g)'!J18/1000</f>
        <v>0</v>
      </c>
      <c r="K18" s="18">
        <f>'[2]iWAT - GC Results (nmol g)'!K18/1000</f>
        <v>0</v>
      </c>
      <c r="L18" s="18">
        <f>'[2]iWAT - GC Results (nmol g)'!L18/1000</f>
        <v>0</v>
      </c>
      <c r="M18" s="18"/>
      <c r="N18" s="18">
        <f>'[2]iWAT - GC Results (nmol g)'!N18/1000</f>
        <v>0</v>
      </c>
      <c r="O18" s="18">
        <f>'[2]iWAT - GC Results (nmol g)'!O18/1000</f>
        <v>0</v>
      </c>
      <c r="P18" s="18">
        <f>'[2]iWAT - GC Results (nmol g)'!P18/1000</f>
        <v>0</v>
      </c>
      <c r="Q18" s="18">
        <f>'[2]iWAT - GC Results (nmol g)'!Q18/1000</f>
        <v>0</v>
      </c>
      <c r="R18" s="18">
        <f>'[2]iWAT - GC Results (nmol g)'!R18/1000</f>
        <v>0</v>
      </c>
      <c r="S18" s="18">
        <f>'[2]iWAT - GC Results (nmol g)'!S18/1000</f>
        <v>0</v>
      </c>
      <c r="T18" s="18">
        <f>'[2]iWAT - GC Results (nmol g)'!T18/1000</f>
        <v>0</v>
      </c>
      <c r="U18" s="18"/>
      <c r="V18" s="18">
        <f>'[2]iWAT - GC Results (nmol g)'!V18/1000</f>
        <v>0</v>
      </c>
      <c r="W18" s="18">
        <f>'[2]iWAT - GC Results (nmol g)'!W18/1000</f>
        <v>0</v>
      </c>
      <c r="X18" s="18"/>
      <c r="Y18" s="18">
        <f>'[2]iWAT - GC Results (nmol g)'!Y18/1000</f>
        <v>0</v>
      </c>
      <c r="Z18" s="18">
        <f>'[2]iWAT - GC Results (nmol g)'!Z18/1000</f>
        <v>0</v>
      </c>
      <c r="AA18" s="18">
        <f>'[2]iWAT - GC Results (nmol g)'!AA18/1000</f>
        <v>0</v>
      </c>
      <c r="AB18" s="18">
        <f>'[2]iWAT - GC Results (nmol g)'!AB18/1000</f>
        <v>0</v>
      </c>
      <c r="AC18" s="18">
        <f>'[2]iWAT - GC Results (nmol g)'!AC18/1000</f>
        <v>0</v>
      </c>
      <c r="AD18" s="18">
        <f>'[2]iWAT - GC Results (nmol g)'!AD18/1000</f>
        <v>0</v>
      </c>
      <c r="AE18" s="18">
        <f>'[2]iWAT - GC Results (nmol g)'!AE18/1000</f>
        <v>0</v>
      </c>
      <c r="AF18" s="18">
        <f>'[2]iWAT - GC Results (nmol g)'!AF18/1000</f>
        <v>0</v>
      </c>
      <c r="AG18" s="18">
        <f>'[2]iWAT - GC Results (nmol g)'!AG18/1000</f>
        <v>0</v>
      </c>
      <c r="AH18" s="18">
        <f>'[2]iWAT - GC Results (nmol g)'!AH18/1000</f>
        <v>0</v>
      </c>
      <c r="AI18" s="9"/>
      <c r="AJ18" s="9"/>
    </row>
    <row r="19" spans="1:36" x14ac:dyDescent="0.2">
      <c r="A19" s="3"/>
      <c r="B19" s="3"/>
    </row>
    <row r="20" spans="1:36" x14ac:dyDescent="0.2">
      <c r="A20" s="10" t="s">
        <v>48</v>
      </c>
      <c r="B20" s="3"/>
      <c r="C20" s="11">
        <f>SUM(C4:C18)</f>
        <v>0.98288756696742319</v>
      </c>
      <c r="D20" s="11">
        <f>SUM(D4:D18)</f>
        <v>1.1470031961579201</v>
      </c>
      <c r="E20" s="11">
        <f>SUM(E4:E18)</f>
        <v>0.85034698801686892</v>
      </c>
      <c r="F20" s="11">
        <f>SUM(F4:F18)</f>
        <v>1.0826319676422553</v>
      </c>
      <c r="G20" s="11">
        <f>SUM(G4:G18)</f>
        <v>0.69667358598572104</v>
      </c>
      <c r="H20" s="11">
        <f>SUM(H4:H18)</f>
        <v>0.78799069318062409</v>
      </c>
      <c r="I20" s="11">
        <f>SUM(I4:I18)</f>
        <v>1.2034382784437236</v>
      </c>
      <c r="J20" s="11">
        <f>SUM(J4:J18)</f>
        <v>0.60930509103856034</v>
      </c>
      <c r="K20" s="11">
        <f>SUM(K4:K18)</f>
        <v>1.3000384404512439</v>
      </c>
      <c r="L20" s="11">
        <f>SUM(L4:L18)</f>
        <v>0.53313803996471909</v>
      </c>
      <c r="M20" s="11"/>
      <c r="N20" s="11">
        <f>SUM(N4:N18)</f>
        <v>0.77505159222806763</v>
      </c>
      <c r="O20" s="11">
        <f>SUM(O4:O18)</f>
        <v>0.46880080173646127</v>
      </c>
      <c r="P20" s="11">
        <f>SUM(P4:P18)</f>
        <v>0.46611203681363134</v>
      </c>
      <c r="Q20" s="11">
        <f>SUM(Q4:Q18)</f>
        <v>0.63296466327024081</v>
      </c>
      <c r="R20" s="11">
        <f>SUM(R4:R18)</f>
        <v>0.70239590899403714</v>
      </c>
      <c r="S20" s="11">
        <f>SUM(S4:S18)</f>
        <v>0.43319540283917551</v>
      </c>
      <c r="T20" s="11">
        <f>SUM(T4:T18)</f>
        <v>0.35356039542604278</v>
      </c>
      <c r="U20" s="11"/>
      <c r="V20" s="11">
        <f>SUM(V4:V18)</f>
        <v>0.50345206616778015</v>
      </c>
      <c r="W20" s="11">
        <f>SUM(W4:W18)</f>
        <v>0.56880721709824333</v>
      </c>
      <c r="X20" s="11"/>
      <c r="Y20" s="11">
        <f>SUM(Y4:Y18)</f>
        <v>0.40291378799870875</v>
      </c>
      <c r="Z20" s="11">
        <f>SUM(Z4:Z18)</f>
        <v>0.40712482612650241</v>
      </c>
      <c r="AA20" s="11">
        <f>SUM(AA4:AA18)</f>
        <v>0.37653938944532528</v>
      </c>
      <c r="AB20" s="11">
        <f>SUM(AB4:AB18)</f>
        <v>0.39581301974817168</v>
      </c>
      <c r="AC20" s="11">
        <f>SUM(AC4:AC18)</f>
        <v>0.31574777825354317</v>
      </c>
      <c r="AD20" s="11">
        <f>SUM(AD4:AD18)</f>
        <v>0.39414049469853307</v>
      </c>
      <c r="AE20" s="11">
        <f>SUM(AE4:AE18)</f>
        <v>0.47715847481272827</v>
      </c>
      <c r="AF20" s="11">
        <f>SUM(AF4:AF18)</f>
        <v>0.36429639101024053</v>
      </c>
      <c r="AG20" s="11">
        <f>SUM(AG4:AG18)</f>
        <v>0.80794358895535534</v>
      </c>
      <c r="AH20" s="11">
        <f>SUM(AH4:AH18)</f>
        <v>0.74247341377746656</v>
      </c>
      <c r="AI20" s="11"/>
      <c r="AJ20" s="11"/>
    </row>
    <row r="21" spans="1:36" x14ac:dyDescent="0.2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4" spans="1:36" ht="16" x14ac:dyDescent="0.2">
      <c r="A24" s="2" t="s">
        <v>49</v>
      </c>
      <c r="B24" s="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x14ac:dyDescent="0.2">
      <c r="A25" s="4" t="s">
        <v>2</v>
      </c>
      <c r="C25" s="5"/>
      <c r="D25" s="5" t="s">
        <v>80</v>
      </c>
      <c r="E25" s="5" t="s">
        <v>79</v>
      </c>
      <c r="F25" s="5" t="s">
        <v>78</v>
      </c>
      <c r="G25" s="5" t="s">
        <v>77</v>
      </c>
      <c r="H25" s="5" t="s">
        <v>76</v>
      </c>
      <c r="I25" s="5" t="s">
        <v>75</v>
      </c>
      <c r="J25" s="5" t="s">
        <v>74</v>
      </c>
      <c r="K25" s="5" t="s">
        <v>73</v>
      </c>
      <c r="L25" s="5" t="s">
        <v>72</v>
      </c>
      <c r="M25" s="5"/>
      <c r="N25" s="5" t="s">
        <v>71</v>
      </c>
      <c r="O25" s="5" t="s">
        <v>70</v>
      </c>
      <c r="P25" s="5" t="s">
        <v>69</v>
      </c>
      <c r="Q25" s="5"/>
      <c r="R25" s="5" t="s">
        <v>67</v>
      </c>
      <c r="S25" s="5" t="s">
        <v>66</v>
      </c>
      <c r="T25" s="5" t="s">
        <v>65</v>
      </c>
      <c r="U25" s="5" t="s">
        <v>64</v>
      </c>
      <c r="V25" s="5" t="s">
        <v>63</v>
      </c>
      <c r="W25" s="5" t="s">
        <v>62</v>
      </c>
      <c r="X25" s="5"/>
      <c r="Y25" s="5" t="s">
        <v>61</v>
      </c>
      <c r="Z25" s="5" t="s">
        <v>60</v>
      </c>
      <c r="AA25" s="5" t="s">
        <v>59</v>
      </c>
      <c r="AB25" s="5" t="s">
        <v>58</v>
      </c>
      <c r="AC25" s="5" t="s">
        <v>57</v>
      </c>
      <c r="AD25" s="5" t="s">
        <v>56</v>
      </c>
      <c r="AE25" s="5" t="s">
        <v>55</v>
      </c>
      <c r="AF25" s="5" t="s">
        <v>54</v>
      </c>
      <c r="AG25" s="5" t="s">
        <v>53</v>
      </c>
      <c r="AH25" s="5" t="s">
        <v>52</v>
      </c>
      <c r="AI25" s="7"/>
      <c r="AJ25" s="7"/>
    </row>
    <row r="26" spans="1:36" x14ac:dyDescent="0.2">
      <c r="A26" t="s">
        <v>33</v>
      </c>
      <c r="C26" s="17"/>
      <c r="D26" s="17">
        <f>'[2]iWAT - GC Results (nmol g)'!D26/1000</f>
        <v>0.34527549609496877</v>
      </c>
      <c r="E26" s="17">
        <f>'[2]iWAT - GC Results (nmol g)'!E26/1000</f>
        <v>0.24909058867676684</v>
      </c>
      <c r="F26" s="17">
        <f>'[2]iWAT - GC Results (nmol g)'!F26/1000</f>
        <v>0.22382330775813236</v>
      </c>
      <c r="G26" s="17">
        <f>'[2]iWAT - GC Results (nmol g)'!G26/1000</f>
        <v>0.19446370937107785</v>
      </c>
      <c r="H26" s="17">
        <f>'[2]iWAT - GC Results (nmol g)'!H26/1000</f>
        <v>0.15603793487077389</v>
      </c>
      <c r="I26" s="17">
        <f>'[2]iWAT - GC Results (nmol g)'!I26/1000</f>
        <v>0.12865618069075652</v>
      </c>
      <c r="J26" s="17">
        <f>'[2]iWAT - GC Results (nmol g)'!J26/1000</f>
        <v>0.1244475289815891</v>
      </c>
      <c r="K26" s="17">
        <f>'[2]iWAT - GC Results (nmol g)'!K26/1000</f>
        <v>0.18692203928827505</v>
      </c>
      <c r="L26" s="17">
        <f>'[2]iWAT - GC Results (nmol g)'!L26/1000</f>
        <v>0.17587914559310144</v>
      </c>
      <c r="M26" s="17"/>
      <c r="N26" s="17">
        <f>'[2]iWAT - GC Results (nmol g)'!N26/1000</f>
        <v>0.13776193614481297</v>
      </c>
      <c r="O26" s="17">
        <f>'[2]iWAT - GC Results (nmol g)'!O26/1000</f>
        <v>0.15123819572376601</v>
      </c>
      <c r="P26" s="17">
        <f>'[2]iWAT - GC Results (nmol g)'!P26/1000</f>
        <v>0.149926473500653</v>
      </c>
      <c r="Q26" s="17"/>
      <c r="R26" s="17">
        <f>'[2]iWAT - GC Results (nmol g)'!R26/1000</f>
        <v>0.34104431803732066</v>
      </c>
      <c r="S26" s="17">
        <f>'[2]iWAT - GC Results (nmol g)'!S26/1000</f>
        <v>0.20952795701736551</v>
      </c>
      <c r="T26" s="17">
        <f>'[2]iWAT - GC Results (nmol g)'!T26/1000</f>
        <v>0.17406491282692188</v>
      </c>
      <c r="U26" s="17">
        <f>'[2]iWAT - GC Results (nmol g)'!U26/1000</f>
        <v>0.16395736901826455</v>
      </c>
      <c r="V26" s="17">
        <f>'[2]iWAT - GC Results (nmol g)'!V26/1000</f>
        <v>0.14378846028760761</v>
      </c>
      <c r="W26" s="17">
        <f>'[2]iWAT - GC Results (nmol g)'!W26/1000</f>
        <v>0.18939590698877615</v>
      </c>
      <c r="X26" s="17"/>
      <c r="Y26" s="17">
        <f>'[2]iWAT - GC Results (nmol g)'!Y26/1000</f>
        <v>0.15679014705027117</v>
      </c>
      <c r="Z26" s="17">
        <f>'[2]iWAT - GC Results (nmol g)'!Z26/1000</f>
        <v>0.1423197906321661</v>
      </c>
      <c r="AA26" s="17">
        <f>'[2]iWAT - GC Results (nmol g)'!AA26/1000</f>
        <v>0.13277893342435948</v>
      </c>
      <c r="AB26" s="17">
        <f>'[2]iWAT - GC Results (nmol g)'!AB26/1000</f>
        <v>0.14406170050481024</v>
      </c>
      <c r="AC26" s="17">
        <f>'[2]iWAT - GC Results (nmol g)'!AC26/1000</f>
        <v>0.1249357518537345</v>
      </c>
      <c r="AD26" s="17">
        <f>'[2]iWAT - GC Results (nmol g)'!AD26/1000</f>
        <v>0.15586709741225502</v>
      </c>
      <c r="AE26" s="17">
        <f>'[2]iWAT - GC Results (nmol g)'!AE26/1000</f>
        <v>0.12710229670651516</v>
      </c>
      <c r="AF26" s="17">
        <f>'[2]iWAT - GC Results (nmol g)'!AF26/1000</f>
        <v>0.24191807403035345</v>
      </c>
      <c r="AG26" s="17">
        <f>'[2]iWAT - GC Results (nmol g)'!AG26/1000</f>
        <v>0.18687197716591883</v>
      </c>
      <c r="AH26" s="17">
        <f>'[2]iWAT - GC Results (nmol g)'!AH26/1000</f>
        <v>0.14665284053914851</v>
      </c>
      <c r="AI26" s="9"/>
      <c r="AJ26" s="9"/>
    </row>
    <row r="27" spans="1:36" x14ac:dyDescent="0.2">
      <c r="A27" t="s">
        <v>35</v>
      </c>
      <c r="C27" s="17"/>
      <c r="D27" s="17">
        <f>'[2]iWAT - GC Results (nmol g)'!D27/1000</f>
        <v>2.5985705182770813</v>
      </c>
      <c r="E27" s="17">
        <f>'[2]iWAT - GC Results (nmol g)'!E27/1000</f>
        <v>2.2020946270123334</v>
      </c>
      <c r="F27" s="17">
        <f>'[2]iWAT - GC Results (nmol g)'!F27/1000</f>
        <v>2.0008827190138225</v>
      </c>
      <c r="G27" s="17">
        <f>'[2]iWAT - GC Results (nmol g)'!G27/1000</f>
        <v>1.8360173740490862</v>
      </c>
      <c r="H27" s="17">
        <f>'[2]iWAT - GC Results (nmol g)'!H27/1000</f>
        <v>1.8248424741625273</v>
      </c>
      <c r="I27" s="17">
        <f>'[2]iWAT - GC Results (nmol g)'!I27/1000</f>
        <v>1.6621675979363557</v>
      </c>
      <c r="J27" s="17">
        <f>'[2]iWAT - GC Results (nmol g)'!J27/1000</f>
        <v>1.3944124432007949</v>
      </c>
      <c r="K27" s="17">
        <f>'[2]iWAT - GC Results (nmol g)'!K27/1000</f>
        <v>2.2214742703395403</v>
      </c>
      <c r="L27" s="17">
        <f>'[2]iWAT - GC Results (nmol g)'!L27/1000</f>
        <v>1.7534810826815739</v>
      </c>
      <c r="M27" s="17"/>
      <c r="N27" s="17">
        <f>'[2]iWAT - GC Results (nmol g)'!N27/1000</f>
        <v>1.5497449583965279</v>
      </c>
      <c r="O27" s="17">
        <f>'[2]iWAT - GC Results (nmol g)'!O27/1000</f>
        <v>1.598065321772931</v>
      </c>
      <c r="P27" s="17">
        <f>'[2]iWAT - GC Results (nmol g)'!P27/1000</f>
        <v>1.5869355683786175</v>
      </c>
      <c r="Q27" s="17"/>
      <c r="R27" s="17">
        <f>'[2]iWAT - GC Results (nmol g)'!R27/1000</f>
        <v>2.6346655558209142</v>
      </c>
      <c r="S27" s="17">
        <f>'[2]iWAT - GC Results (nmol g)'!S27/1000</f>
        <v>2.257716669976801</v>
      </c>
      <c r="T27" s="17">
        <f>'[2]iWAT - GC Results (nmol g)'!T27/1000</f>
        <v>2.3923644005082441</v>
      </c>
      <c r="U27" s="17">
        <f>'[2]iWAT - GC Results (nmol g)'!U27/1000</f>
        <v>1.9568651466526195</v>
      </c>
      <c r="V27" s="17">
        <f>'[2]iWAT - GC Results (nmol g)'!V27/1000</f>
        <v>1.5090862490862023</v>
      </c>
      <c r="W27" s="17">
        <f>'[2]iWAT - GC Results (nmol g)'!W27/1000</f>
        <v>2.331447460699132</v>
      </c>
      <c r="X27" s="17"/>
      <c r="Y27" s="17">
        <f>'[2]iWAT - GC Results (nmol g)'!Y27/1000</f>
        <v>2.3207370284101549</v>
      </c>
      <c r="Z27" s="17">
        <f>'[2]iWAT - GC Results (nmol g)'!Z27/1000</f>
        <v>1.9094743445273568</v>
      </c>
      <c r="AA27" s="17">
        <f>'[2]iWAT - GC Results (nmol g)'!AA27/1000</f>
        <v>1.7636988673653895</v>
      </c>
      <c r="AB27" s="17">
        <f>'[2]iWAT - GC Results (nmol g)'!AB27/1000</f>
        <v>2.0227044377562349</v>
      </c>
      <c r="AC27" s="17">
        <f>'[2]iWAT - GC Results (nmol g)'!AC27/1000</f>
        <v>1.6340262325284263</v>
      </c>
      <c r="AD27" s="17">
        <f>'[2]iWAT - GC Results (nmol g)'!AD27/1000</f>
        <v>1.9056383641786259</v>
      </c>
      <c r="AE27" s="17">
        <f>'[2]iWAT - GC Results (nmol g)'!AE27/1000</f>
        <v>1.9949470772525739</v>
      </c>
      <c r="AF27" s="17">
        <f>'[2]iWAT - GC Results (nmol g)'!AF27/1000</f>
        <v>2.3593876205809052</v>
      </c>
      <c r="AG27" s="17">
        <f>'[2]iWAT - GC Results (nmol g)'!AG27/1000</f>
        <v>1.9802216950768448</v>
      </c>
      <c r="AH27" s="17">
        <f>'[2]iWAT - GC Results (nmol g)'!AH27/1000</f>
        <v>2.1181385978372376</v>
      </c>
      <c r="AI27" s="9"/>
      <c r="AJ27" s="9"/>
    </row>
    <row r="28" spans="1:36" x14ac:dyDescent="0.2">
      <c r="A28" t="s">
        <v>36</v>
      </c>
      <c r="C28" s="17"/>
      <c r="D28" s="17">
        <f>'[2]iWAT - GC Results (nmol g)'!D28/1000</f>
        <v>0.34941064962416812</v>
      </c>
      <c r="E28" s="17">
        <f>'[2]iWAT - GC Results (nmol g)'!E28/1000</f>
        <v>0.35821379700620165</v>
      </c>
      <c r="F28" s="17">
        <f>'[2]iWAT - GC Results (nmol g)'!F28/1000</f>
        <v>0.24255879524078336</v>
      </c>
      <c r="G28" s="17">
        <f>'[2]iWAT - GC Results (nmol g)'!G28/1000</f>
        <v>0.27684427522717381</v>
      </c>
      <c r="H28" s="17">
        <f>'[2]iWAT - GC Results (nmol g)'!H28/1000</f>
        <v>0.3101366570559318</v>
      </c>
      <c r="I28" s="17">
        <f>'[2]iWAT - GC Results (nmol g)'!I28/1000</f>
        <v>0.24178960870155344</v>
      </c>
      <c r="J28" s="17">
        <f>'[2]iWAT - GC Results (nmol g)'!J28/1000</f>
        <v>0.15785628107817537</v>
      </c>
      <c r="K28" s="17">
        <f>'[2]iWAT - GC Results (nmol g)'!K28/1000</f>
        <v>0.41151479879786607</v>
      </c>
      <c r="L28" s="17">
        <f>'[2]iWAT - GC Results (nmol g)'!L28/1000</f>
        <v>0.3195570284177347</v>
      </c>
      <c r="M28" s="17"/>
      <c r="N28" s="17">
        <f>'[2]iWAT - GC Results (nmol g)'!N28/1000</f>
        <v>0.27531430241160648</v>
      </c>
      <c r="O28" s="17">
        <f>'[2]iWAT - GC Results (nmol g)'!O28/1000</f>
        <v>0.28169160066579385</v>
      </c>
      <c r="P28" s="17">
        <f>'[2]iWAT - GC Results (nmol g)'!P28/1000</f>
        <v>0.23688431221732772</v>
      </c>
      <c r="Q28" s="17"/>
      <c r="R28" s="17">
        <f>'[2]iWAT - GC Results (nmol g)'!R28/1000</f>
        <v>0.41806790794446441</v>
      </c>
      <c r="S28" s="17">
        <f>'[2]iWAT - GC Results (nmol g)'!S28/1000</f>
        <v>0.34890976730574375</v>
      </c>
      <c r="T28" s="17">
        <f>'[2]iWAT - GC Results (nmol g)'!T28/1000</f>
        <v>0.4558148816363477</v>
      </c>
      <c r="U28" s="17">
        <f>'[2]iWAT - GC Results (nmol g)'!U28/1000</f>
        <v>0.29934476870901533</v>
      </c>
      <c r="V28" s="17">
        <f>'[2]iWAT - GC Results (nmol g)'!V28/1000</f>
        <v>0.28339414381152872</v>
      </c>
      <c r="W28" s="17">
        <f>'[2]iWAT - GC Results (nmol g)'!W28/1000</f>
        <v>0.44515164593369327</v>
      </c>
      <c r="X28" s="17"/>
      <c r="Y28" s="17">
        <f>'[2]iWAT - GC Results (nmol g)'!Y28/1000</f>
        <v>0.42729114721046685</v>
      </c>
      <c r="Z28" s="17">
        <f>'[2]iWAT - GC Results (nmol g)'!Z28/1000</f>
        <v>0.33930432896971163</v>
      </c>
      <c r="AA28" s="17">
        <f>'[2]iWAT - GC Results (nmol g)'!AA28/1000</f>
        <v>0.37932324465083389</v>
      </c>
      <c r="AB28" s="17">
        <f>'[2]iWAT - GC Results (nmol g)'!AB28/1000</f>
        <v>0.31948276781437113</v>
      </c>
      <c r="AC28" s="17">
        <f>'[2]iWAT - GC Results (nmol g)'!AC28/1000</f>
        <v>0.28705818584653553</v>
      </c>
      <c r="AD28" s="17">
        <f>'[2]iWAT - GC Results (nmol g)'!AD28/1000</f>
        <v>0.38843780141373646</v>
      </c>
      <c r="AE28" s="17">
        <f>'[2]iWAT - GC Results (nmol g)'!AE28/1000</f>
        <v>0.43621804006628667</v>
      </c>
      <c r="AF28" s="17">
        <f>'[2]iWAT - GC Results (nmol g)'!AF28/1000</f>
        <v>0.25758692369546554</v>
      </c>
      <c r="AG28" s="17">
        <f>'[2]iWAT - GC Results (nmol g)'!AG28/1000</f>
        <v>0.30133952528574598</v>
      </c>
      <c r="AH28" s="17">
        <f>'[2]iWAT - GC Results (nmol g)'!AH28/1000</f>
        <v>0.36763093622608906</v>
      </c>
      <c r="AI28" s="9"/>
      <c r="AJ28" s="9"/>
    </row>
    <row r="29" spans="1:36" x14ac:dyDescent="0.2">
      <c r="A29" t="s">
        <v>50</v>
      </c>
      <c r="C29" s="17"/>
      <c r="D29" s="17">
        <f>'[2]iWAT - GC Results (nmol g)'!D29/1000</f>
        <v>0</v>
      </c>
      <c r="E29" s="17">
        <f>'[2]iWAT - GC Results (nmol g)'!E29/1000</f>
        <v>0</v>
      </c>
      <c r="F29" s="17">
        <f>'[2]iWAT - GC Results (nmol g)'!F29/1000</f>
        <v>0</v>
      </c>
      <c r="G29" s="17">
        <f>'[2]iWAT - GC Results (nmol g)'!G29/1000</f>
        <v>0</v>
      </c>
      <c r="H29" s="17">
        <f>'[2]iWAT - GC Results (nmol g)'!H29/1000</f>
        <v>0</v>
      </c>
      <c r="I29" s="17">
        <f>'[2]iWAT - GC Results (nmol g)'!I29/1000</f>
        <v>0</v>
      </c>
      <c r="J29" s="17">
        <f>'[2]iWAT - GC Results (nmol g)'!J29/1000</f>
        <v>0</v>
      </c>
      <c r="K29" s="17">
        <f>'[2]iWAT - GC Results (nmol g)'!K29/1000</f>
        <v>0</v>
      </c>
      <c r="L29" s="17">
        <f>'[2]iWAT - GC Results (nmol g)'!L29/1000</f>
        <v>0</v>
      </c>
      <c r="M29" s="17"/>
      <c r="N29" s="17">
        <f>'[2]iWAT - GC Results (nmol g)'!N29/1000</f>
        <v>0</v>
      </c>
      <c r="O29" s="17">
        <f>'[2]iWAT - GC Results (nmol g)'!O29/1000</f>
        <v>0</v>
      </c>
      <c r="P29" s="17">
        <f>'[2]iWAT - GC Results (nmol g)'!P29/1000</f>
        <v>0</v>
      </c>
      <c r="Q29" s="17"/>
      <c r="R29" s="17">
        <f>'[2]iWAT - GC Results (nmol g)'!R29/1000</f>
        <v>0</v>
      </c>
      <c r="S29" s="17">
        <f>'[2]iWAT - GC Results (nmol g)'!S29/1000</f>
        <v>0</v>
      </c>
      <c r="T29" s="17">
        <f>'[2]iWAT - GC Results (nmol g)'!T29/1000</f>
        <v>0</v>
      </c>
      <c r="U29" s="17">
        <f>'[2]iWAT - GC Results (nmol g)'!U29/1000</f>
        <v>0</v>
      </c>
      <c r="V29" s="17">
        <f>'[2]iWAT - GC Results (nmol g)'!V29/1000</f>
        <v>0</v>
      </c>
      <c r="W29" s="17">
        <f>'[2]iWAT - GC Results (nmol g)'!W29/1000</f>
        <v>0</v>
      </c>
      <c r="X29" s="17"/>
      <c r="Y29" s="17">
        <f>'[2]iWAT - GC Results (nmol g)'!Y29/1000</f>
        <v>0</v>
      </c>
      <c r="Z29" s="17">
        <f>'[2]iWAT - GC Results (nmol g)'!Z29/1000</f>
        <v>0</v>
      </c>
      <c r="AA29" s="17">
        <f>'[2]iWAT - GC Results (nmol g)'!AA29/1000</f>
        <v>0</v>
      </c>
      <c r="AB29" s="17">
        <f>'[2]iWAT - GC Results (nmol g)'!AB29/1000</f>
        <v>0</v>
      </c>
      <c r="AC29" s="17">
        <f>'[2]iWAT - GC Results (nmol g)'!AC29/1000</f>
        <v>0</v>
      </c>
      <c r="AD29" s="17">
        <f>'[2]iWAT - GC Results (nmol g)'!AD29/1000</f>
        <v>0</v>
      </c>
      <c r="AE29" s="17">
        <f>'[2]iWAT - GC Results (nmol g)'!AE29/1000</f>
        <v>0</v>
      </c>
      <c r="AF29" s="17">
        <f>'[2]iWAT - GC Results (nmol g)'!AF29/1000</f>
        <v>0</v>
      </c>
      <c r="AG29" s="17">
        <f>'[2]iWAT - GC Results (nmol g)'!AG29/1000</f>
        <v>0</v>
      </c>
      <c r="AH29" s="17">
        <f>'[2]iWAT - GC Results (nmol g)'!AH29/1000</f>
        <v>0</v>
      </c>
      <c r="AI29" s="9"/>
      <c r="AJ29" s="9"/>
    </row>
    <row r="30" spans="1:36" x14ac:dyDescent="0.2">
      <c r="A30" t="s">
        <v>37</v>
      </c>
      <c r="C30" s="17"/>
      <c r="D30" s="17">
        <f>'[2]iWAT - GC Results (nmol g)'!D30/1000</f>
        <v>0.68399353230705129</v>
      </c>
      <c r="E30" s="17">
        <f>'[2]iWAT - GC Results (nmol g)'!E30/1000</f>
        <v>0.53372133745710126</v>
      </c>
      <c r="F30" s="17">
        <f>'[2]iWAT - GC Results (nmol g)'!F30/1000</f>
        <v>0.54634434936508458</v>
      </c>
      <c r="G30" s="17">
        <f>'[2]iWAT - GC Results (nmol g)'!G30/1000</f>
        <v>0.45176839038870165</v>
      </c>
      <c r="H30" s="17">
        <f>'[2]iWAT - GC Results (nmol g)'!H30/1000</f>
        <v>0.39407664003046372</v>
      </c>
      <c r="I30" s="17">
        <f>'[2]iWAT - GC Results (nmol g)'!I30/1000</f>
        <v>0.38329698528197476</v>
      </c>
      <c r="J30" s="17">
        <f>'[2]iWAT - GC Results (nmol g)'!J30/1000</f>
        <v>0.36400500653717549</v>
      </c>
      <c r="K30" s="17">
        <f>'[2]iWAT - GC Results (nmol g)'!K30/1000</f>
        <v>0.47201995713056621</v>
      </c>
      <c r="L30" s="17">
        <f>'[2]iWAT - GC Results (nmol g)'!L30/1000</f>
        <v>0.37100323629587473</v>
      </c>
      <c r="M30" s="17"/>
      <c r="N30" s="17">
        <f>'[2]iWAT - GC Results (nmol g)'!N30/1000</f>
        <v>0.33420962956726358</v>
      </c>
      <c r="O30" s="17">
        <f>'[2]iWAT - GC Results (nmol g)'!O30/1000</f>
        <v>0.36989942849803348</v>
      </c>
      <c r="P30" s="17">
        <f>'[2]iWAT - GC Results (nmol g)'!P30/1000</f>
        <v>0.3862901676236658</v>
      </c>
      <c r="Q30" s="17"/>
      <c r="R30" s="17">
        <f>'[2]iWAT - GC Results (nmol g)'!R30/1000</f>
        <v>0.72729632140860712</v>
      </c>
      <c r="S30" s="17">
        <f>'[2]iWAT - GC Results (nmol g)'!S30/1000</f>
        <v>0.5023942975782163</v>
      </c>
      <c r="T30" s="17">
        <f>'[2]iWAT - GC Results (nmol g)'!T30/1000</f>
        <v>0.46975938648919413</v>
      </c>
      <c r="U30" s="17">
        <f>'[2]iWAT - GC Results (nmol g)'!U30/1000</f>
        <v>0.45810228937734865</v>
      </c>
      <c r="V30" s="17">
        <f>'[2]iWAT - GC Results (nmol g)'!V30/1000</f>
        <v>0.32566907567659326</v>
      </c>
      <c r="W30" s="17">
        <f>'[2]iWAT - GC Results (nmol g)'!W30/1000</f>
        <v>0.5885222935576252</v>
      </c>
      <c r="X30" s="17"/>
      <c r="Y30" s="17">
        <f>'[2]iWAT - GC Results (nmol g)'!Y30/1000</f>
        <v>0.42484009224322733</v>
      </c>
      <c r="Z30" s="17">
        <f>'[2]iWAT - GC Results (nmol g)'!Z30/1000</f>
        <v>0.38238542530434344</v>
      </c>
      <c r="AA30" s="17">
        <f>'[2]iWAT - GC Results (nmol g)'!AA30/1000</f>
        <v>0.34418580123020437</v>
      </c>
      <c r="AB30" s="17">
        <f>'[2]iWAT - GC Results (nmol g)'!AB30/1000</f>
        <v>0.42535506018669539</v>
      </c>
      <c r="AC30" s="17">
        <f>'[2]iWAT - GC Results (nmol g)'!AC30/1000</f>
        <v>0.3187961846576256</v>
      </c>
      <c r="AD30" s="17">
        <f>'[2]iWAT - GC Results (nmol g)'!AD30/1000</f>
        <v>0.41838297916224271</v>
      </c>
      <c r="AE30" s="17">
        <f>'[2]iWAT - GC Results (nmol g)'!AE30/1000</f>
        <v>0.33221508161134294</v>
      </c>
      <c r="AF30" s="17">
        <f>'[2]iWAT - GC Results (nmol g)'!AF30/1000</f>
        <v>0.76569720648345796</v>
      </c>
      <c r="AG30" s="17">
        <f>'[2]iWAT - GC Results (nmol g)'!AG30/1000</f>
        <v>0.46631286263197186</v>
      </c>
      <c r="AH30" s="17">
        <f>'[2]iWAT - GC Results (nmol g)'!AH30/1000</f>
        <v>0.40205769318246276</v>
      </c>
      <c r="AI30" s="9"/>
      <c r="AJ30" s="9"/>
    </row>
    <row r="31" spans="1:36" x14ac:dyDescent="0.2">
      <c r="A31" t="s">
        <v>38</v>
      </c>
      <c r="C31" s="17"/>
      <c r="D31" s="17">
        <f>'[2]iWAT - GC Results (nmol g)'!D31/1000</f>
        <v>2.1851358929928457</v>
      </c>
      <c r="E31" s="17">
        <f>'[2]iWAT - GC Results (nmol g)'!E31/1000</f>
        <v>2.5748969489700011</v>
      </c>
      <c r="F31" s="17">
        <f>'[2]iWAT - GC Results (nmol g)'!F31/1000</f>
        <v>2.1265549391561502</v>
      </c>
      <c r="G31" s="17">
        <f>'[2]iWAT - GC Results (nmol g)'!G31/1000</f>
        <v>1.8116659236579371</v>
      </c>
      <c r="H31" s="17">
        <f>'[2]iWAT - GC Results (nmol g)'!H31/1000</f>
        <v>1.9739694560193017</v>
      </c>
      <c r="I31" s="17">
        <f>'[2]iWAT - GC Results (nmol g)'!I31/1000</f>
        <v>1.8211951614649728</v>
      </c>
      <c r="J31" s="17">
        <f>'[2]iWAT - GC Results (nmol g)'!J31/1000</f>
        <v>1.4019673843546825</v>
      </c>
      <c r="K31" s="17">
        <f>'[2]iWAT - GC Results (nmol g)'!K31/1000</f>
        <v>3.0776148560978904</v>
      </c>
      <c r="L31" s="17">
        <f>'[2]iWAT - GC Results (nmol g)'!L31/1000</f>
        <v>1.9934979377280451</v>
      </c>
      <c r="M31" s="17"/>
      <c r="N31" s="17">
        <f>'[2]iWAT - GC Results (nmol g)'!N31/1000</f>
        <v>1.8123457287470013</v>
      </c>
      <c r="O31" s="17">
        <f>'[2]iWAT - GC Results (nmol g)'!O31/1000</f>
        <v>1.9626733988880454</v>
      </c>
      <c r="P31" s="17">
        <f>'[2]iWAT - GC Results (nmol g)'!P31/1000</f>
        <v>1.8231846840488399</v>
      </c>
      <c r="Q31" s="17"/>
      <c r="R31" s="17">
        <f>'[2]iWAT - GC Results (nmol g)'!R31/1000</f>
        <v>2.3276996874619367</v>
      </c>
      <c r="S31" s="17">
        <f>'[2]iWAT - GC Results (nmol g)'!S31/1000</f>
        <v>3.3074497986645621</v>
      </c>
      <c r="T31" s="17">
        <f>'[2]iWAT - GC Results (nmol g)'!T31/1000</f>
        <v>2.99786648336489</v>
      </c>
      <c r="U31" s="17">
        <f>'[2]iWAT - GC Results (nmol g)'!U31/1000</f>
        <v>2.8953968509989387</v>
      </c>
      <c r="V31" s="17">
        <f>'[2]iWAT - GC Results (nmol g)'!V31/1000</f>
        <v>1.8043008825783167</v>
      </c>
      <c r="W31" s="17">
        <f>'[2]iWAT - GC Results (nmol g)'!W31/1000</f>
        <v>3.2221410328502906</v>
      </c>
      <c r="X31" s="17"/>
      <c r="Y31" s="17">
        <f>'[2]iWAT - GC Results (nmol g)'!Y31/1000</f>
        <v>2.7779868166774775</v>
      </c>
      <c r="Z31" s="17">
        <f>'[2]iWAT - GC Results (nmol g)'!Z31/1000</f>
        <v>2.4546410355370156</v>
      </c>
      <c r="AA31" s="17">
        <f>'[2]iWAT - GC Results (nmol g)'!AA31/1000</f>
        <v>2.2432951342239962</v>
      </c>
      <c r="AB31" s="17">
        <f>'[2]iWAT - GC Results (nmol g)'!AB31/1000</f>
        <v>2.5143778506988372</v>
      </c>
      <c r="AC31" s="17">
        <f>'[2]iWAT - GC Results (nmol g)'!AC31/1000</f>
        <v>2.1839003901511096</v>
      </c>
      <c r="AD31" s="17">
        <f>'[2]iWAT - GC Results (nmol g)'!AD31/1000</f>
        <v>2.6740331716223538</v>
      </c>
      <c r="AE31" s="17">
        <f>'[2]iWAT - GC Results (nmol g)'!AE31/1000</f>
        <v>3.2418575597713741</v>
      </c>
      <c r="AF31" s="17">
        <f>'[2]iWAT - GC Results (nmol g)'!AF31/1000</f>
        <v>1.981104327891406</v>
      </c>
      <c r="AG31" s="17">
        <f>'[2]iWAT - GC Results (nmol g)'!AG31/1000</f>
        <v>2.2173948511589541</v>
      </c>
      <c r="AH31" s="17">
        <f>'[2]iWAT - GC Results (nmol g)'!AH31/1000</f>
        <v>2.7624077091574732</v>
      </c>
      <c r="AI31" s="9"/>
      <c r="AJ31" s="9"/>
    </row>
    <row r="32" spans="1:36" x14ac:dyDescent="0.2">
      <c r="A32" t="s">
        <v>39</v>
      </c>
      <c r="C32" s="17"/>
      <c r="D32" s="17">
        <f>'[2]iWAT - GC Results (nmol g)'!D32/1000</f>
        <v>1.1520267510670477</v>
      </c>
      <c r="E32" s="17">
        <f>'[2]iWAT - GC Results (nmol g)'!E32/1000</f>
        <v>1.3293605891274261</v>
      </c>
      <c r="F32" s="17">
        <f>'[2]iWAT - GC Results (nmol g)'!F32/1000</f>
        <v>1.1214119059118379</v>
      </c>
      <c r="G32" s="17">
        <f>'[2]iWAT - GC Results (nmol g)'!G32/1000</f>
        <v>0.97516472052480607</v>
      </c>
      <c r="H32" s="17">
        <f>'[2]iWAT - GC Results (nmol g)'!H32/1000</f>
        <v>1.1010053673080735</v>
      </c>
      <c r="I32" s="17">
        <f>'[2]iWAT - GC Results (nmol g)'!I32/1000</f>
        <v>0.96217386691048579</v>
      </c>
      <c r="J32" s="17">
        <f>'[2]iWAT - GC Results (nmol g)'!J32/1000</f>
        <v>0.76683764481838546</v>
      </c>
      <c r="K32" s="17">
        <f>'[2]iWAT - GC Results (nmol g)'!K32/1000</f>
        <v>1.4799303171415492</v>
      </c>
      <c r="L32" s="17">
        <f>'[2]iWAT - GC Results (nmol g)'!L32/1000</f>
        <v>1.0713660154660078</v>
      </c>
      <c r="M32" s="17"/>
      <c r="N32" s="17">
        <f>'[2]iWAT - GC Results (nmol g)'!N32/1000</f>
        <v>0.95789766987141867</v>
      </c>
      <c r="O32" s="17">
        <f>'[2]iWAT - GC Results (nmol g)'!O32/1000</f>
        <v>1.0484369217182854</v>
      </c>
      <c r="P32" s="17">
        <f>'[2]iWAT - GC Results (nmol g)'!P32/1000</f>
        <v>0.98869131647215047</v>
      </c>
      <c r="Q32" s="17"/>
      <c r="R32" s="17">
        <f>'[2]iWAT - GC Results (nmol g)'!R32/1000</f>
        <v>1.2268587173693863</v>
      </c>
      <c r="S32" s="17">
        <f>'[2]iWAT - GC Results (nmol g)'!S32/1000</f>
        <v>1.588502399453374</v>
      </c>
      <c r="T32" s="17">
        <f>'[2]iWAT - GC Results (nmol g)'!T32/1000</f>
        <v>1.5961487075153369</v>
      </c>
      <c r="U32" s="17">
        <f>'[2]iWAT - GC Results (nmol g)'!U32/1000</f>
        <v>1.4139603420631075</v>
      </c>
      <c r="V32" s="17">
        <f>'[2]iWAT - GC Results (nmol g)'!V32/1000</f>
        <v>1.0395949775393472</v>
      </c>
      <c r="W32" s="17">
        <f>'[2]iWAT - GC Results (nmol g)'!W32/1000</f>
        <v>1.6311147614806381</v>
      </c>
      <c r="X32" s="17"/>
      <c r="Y32" s="17">
        <f>'[2]iWAT - GC Results (nmol g)'!Y32/1000</f>
        <v>1.3958739086589997</v>
      </c>
      <c r="Z32" s="17">
        <f>'[2]iWAT - GC Results (nmol g)'!Z32/1000</f>
        <v>1.2963634688293928</v>
      </c>
      <c r="AA32" s="17">
        <f>'[2]iWAT - GC Results (nmol g)'!AA32/1000</f>
        <v>1.2442399040489553</v>
      </c>
      <c r="AB32" s="17">
        <f>'[2]iWAT - GC Results (nmol g)'!AB32/1000</f>
        <v>1.3995112182500509</v>
      </c>
      <c r="AC32" s="17">
        <f>'[2]iWAT - GC Results (nmol g)'!AC32/1000</f>
        <v>1.1834104673722516</v>
      </c>
      <c r="AD32" s="17">
        <f>'[2]iWAT - GC Results (nmol g)'!AD32/1000</f>
        <v>1.4545823296905735</v>
      </c>
      <c r="AE32" s="17">
        <f>'[2]iWAT - GC Results (nmol g)'!AE32/1000</f>
        <v>1.5664285939463851</v>
      </c>
      <c r="AF32" s="17">
        <f>'[2]iWAT - GC Results (nmol g)'!AF32/1000</f>
        <v>0.97974714129845264</v>
      </c>
      <c r="AG32" s="17">
        <f>'[2]iWAT - GC Results (nmol g)'!AG32/1000</f>
        <v>1.1519017467976895</v>
      </c>
      <c r="AH32" s="17">
        <f>'[2]iWAT - GC Results (nmol g)'!AH32/1000</f>
        <v>1.5056471008624603</v>
      </c>
      <c r="AI32" s="9"/>
      <c r="AJ32" s="9"/>
    </row>
    <row r="33" spans="1:36" x14ac:dyDescent="0.2">
      <c r="A33" t="s">
        <v>40</v>
      </c>
      <c r="C33" s="17"/>
      <c r="D33" s="17">
        <f>'[2]iWAT - GC Results (nmol g)'!D33/1000</f>
        <v>1.2441801716012387E-2</v>
      </c>
      <c r="E33" s="17">
        <f>'[2]iWAT - GC Results (nmol g)'!E33/1000</f>
        <v>1.8287859755284762E-2</v>
      </c>
      <c r="F33" s="17">
        <f>'[2]iWAT - GC Results (nmol g)'!F33/1000</f>
        <v>1.7581942713956637E-2</v>
      </c>
      <c r="G33" s="17">
        <f>'[2]iWAT - GC Results (nmol g)'!G33/1000</f>
        <v>1.0338649606934553E-2</v>
      </c>
      <c r="H33" s="17">
        <f>'[2]iWAT - GC Results (nmol g)'!H33/1000</f>
        <v>1.4239679246588029E-2</v>
      </c>
      <c r="I33" s="17">
        <f>'[2]iWAT - GC Results (nmol g)'!I33/1000</f>
        <v>1.5780675800370913E-2</v>
      </c>
      <c r="J33" s="17">
        <f>'[2]iWAT - GC Results (nmol g)'!J33/1000</f>
        <v>7.4772732278243111E-3</v>
      </c>
      <c r="K33" s="17">
        <f>'[2]iWAT - GC Results (nmol g)'!K33/1000</f>
        <v>1.5660088918019212E-2</v>
      </c>
      <c r="L33" s="17">
        <f>'[2]iWAT - GC Results (nmol g)'!L33/1000</f>
        <v>1.0702127398870389E-2</v>
      </c>
      <c r="M33" s="17"/>
      <c r="N33" s="17">
        <f>'[2]iWAT - GC Results (nmol g)'!N33/1000</f>
        <v>1.220739396086931E-2</v>
      </c>
      <c r="O33" s="17">
        <f>'[2]iWAT - GC Results (nmol g)'!O33/1000</f>
        <v>1.3803973103727288E-2</v>
      </c>
      <c r="P33" s="17">
        <f>'[2]iWAT - GC Results (nmol g)'!P33/1000</f>
        <v>1.2930028054684434E-2</v>
      </c>
      <c r="Q33" s="17"/>
      <c r="R33" s="17">
        <f>'[2]iWAT - GC Results (nmol g)'!R33/1000</f>
        <v>2.4665736684181386E-2</v>
      </c>
      <c r="S33" s="17">
        <f>'[2]iWAT - GC Results (nmol g)'!S33/1000</f>
        <v>1.2980267518870088E-2</v>
      </c>
      <c r="T33" s="17">
        <f>'[2]iWAT - GC Results (nmol g)'!T33/1000</f>
        <v>1.1292943178681755E-2</v>
      </c>
      <c r="U33" s="17">
        <f>'[2]iWAT - GC Results (nmol g)'!U33/1000</f>
        <v>1.2277390948920986E-2</v>
      </c>
      <c r="V33" s="17">
        <f>'[2]iWAT - GC Results (nmol g)'!V33/1000</f>
        <v>1.2116663277557086E-2</v>
      </c>
      <c r="W33" s="17">
        <f>'[2]iWAT - GC Results (nmol g)'!W33/1000</f>
        <v>2.8106929125598618E-2</v>
      </c>
      <c r="X33" s="17"/>
      <c r="Y33" s="17">
        <f>'[2]iWAT - GC Results (nmol g)'!Y33/1000</f>
        <v>1.723522098775751E-2</v>
      </c>
      <c r="Z33" s="17">
        <f>'[2]iWAT - GC Results (nmol g)'!Z33/1000</f>
        <v>1.0537007011495798E-2</v>
      </c>
      <c r="AA33" s="17">
        <f>'[2]iWAT - GC Results (nmol g)'!AA33/1000</f>
        <v>1.4533257466572925E-2</v>
      </c>
      <c r="AB33" s="17">
        <f>'[2]iWAT - GC Results (nmol g)'!AB33/1000</f>
        <v>1.678454954371808E-2</v>
      </c>
      <c r="AC33" s="17">
        <f>'[2]iWAT - GC Results (nmol g)'!AC33/1000</f>
        <v>1.1331643242556975E-2</v>
      </c>
      <c r="AD33" s="17">
        <f>'[2]iWAT - GC Results (nmol g)'!AD33/1000</f>
        <v>1.3195762125965935E-2</v>
      </c>
      <c r="AE33" s="17">
        <f>'[2]iWAT - GC Results (nmol g)'!AE33/1000</f>
        <v>1.9050383252317952E-2</v>
      </c>
      <c r="AF33" s="17">
        <f>'[2]iWAT - GC Results (nmol g)'!AF33/1000</f>
        <v>1.5243737035368561E-2</v>
      </c>
      <c r="AG33" s="17">
        <f>'[2]iWAT - GC Results (nmol g)'!AG33/1000</f>
        <v>1.3220188865715795E-2</v>
      </c>
      <c r="AH33" s="17">
        <f>'[2]iWAT - GC Results (nmol g)'!AH33/1000</f>
        <v>7.3671363197338122E-3</v>
      </c>
      <c r="AI33" s="9"/>
      <c r="AJ33" s="9"/>
    </row>
    <row r="34" spans="1:36" x14ac:dyDescent="0.2">
      <c r="A34" t="s">
        <v>41</v>
      </c>
      <c r="C34" s="17"/>
      <c r="D34" s="17">
        <f>'[2]iWAT - GC Results (nmol g)'!D34/1000</f>
        <v>6.407253480367564E-2</v>
      </c>
      <c r="E34" s="17">
        <f>'[2]iWAT - GC Results (nmol g)'!E34/1000</f>
        <v>7.814559852353184E-2</v>
      </c>
      <c r="F34" s="17">
        <f>'[2]iWAT - GC Results (nmol g)'!F34/1000</f>
        <v>6.9297558018519889E-2</v>
      </c>
      <c r="G34" s="17">
        <f>'[2]iWAT - GC Results (nmol g)'!G34/1000</f>
        <v>6.1905703383266682E-2</v>
      </c>
      <c r="H34" s="17">
        <f>'[2]iWAT - GC Results (nmol g)'!H34/1000</f>
        <v>6.3693508650541186E-2</v>
      </c>
      <c r="I34" s="17">
        <f>'[2]iWAT - GC Results (nmol g)'!I34/1000</f>
        <v>5.2669702169900426E-2</v>
      </c>
      <c r="J34" s="17">
        <f>'[2]iWAT - GC Results (nmol g)'!J34/1000</f>
        <v>4.7940622521176576E-2</v>
      </c>
      <c r="K34" s="17">
        <f>'[2]iWAT - GC Results (nmol g)'!K34/1000</f>
        <v>8.0331881756701418E-2</v>
      </c>
      <c r="L34" s="17">
        <f>'[2]iWAT - GC Results (nmol g)'!L34/1000</f>
        <v>6.1213902615345553E-2</v>
      </c>
      <c r="M34" s="17"/>
      <c r="N34" s="17">
        <f>'[2]iWAT - GC Results (nmol g)'!N34/1000</f>
        <v>5.6352697591524087E-2</v>
      </c>
      <c r="O34" s="17">
        <f>'[2]iWAT - GC Results (nmol g)'!O34/1000</f>
        <v>6.5331784081560526E-2</v>
      </c>
      <c r="P34" s="17">
        <f>'[2]iWAT - GC Results (nmol g)'!P34/1000</f>
        <v>6.7360911375264135E-2</v>
      </c>
      <c r="Q34" s="17"/>
      <c r="R34" s="17">
        <f>'[2]iWAT - GC Results (nmol g)'!R34/1000</f>
        <v>8.5194627916753779E-2</v>
      </c>
      <c r="S34" s="17">
        <f>'[2]iWAT - GC Results (nmol g)'!S34/1000</f>
        <v>8.7262669376239735E-2</v>
      </c>
      <c r="T34" s="17">
        <f>'[2]iWAT - GC Results (nmol g)'!T34/1000</f>
        <v>0.10726061670888359</v>
      </c>
      <c r="U34" s="17">
        <f>'[2]iWAT - GC Results (nmol g)'!U34/1000</f>
        <v>7.7107756220217066E-2</v>
      </c>
      <c r="V34" s="17">
        <f>'[2]iWAT - GC Results (nmol g)'!V34/1000</f>
        <v>7.0631068457287935E-2</v>
      </c>
      <c r="W34" s="17">
        <f>'[2]iWAT - GC Results (nmol g)'!W34/1000</f>
        <v>9.3075948091202634E-2</v>
      </c>
      <c r="X34" s="17"/>
      <c r="Y34" s="17">
        <f>'[2]iWAT - GC Results (nmol g)'!Y34/1000</f>
        <v>8.7419659331804914E-2</v>
      </c>
      <c r="Z34" s="17">
        <f>'[2]iWAT - GC Results (nmol g)'!Z34/1000</f>
        <v>7.4993812267086596E-2</v>
      </c>
      <c r="AA34" s="17">
        <f>'[2]iWAT - GC Results (nmol g)'!AA34/1000</f>
        <v>7.23521474072083E-2</v>
      </c>
      <c r="AB34" s="17">
        <f>'[2]iWAT - GC Results (nmol g)'!AB34/1000</f>
        <v>8.6467933421503204E-2</v>
      </c>
      <c r="AC34" s="17">
        <f>'[2]iWAT - GC Results (nmol g)'!AC34/1000</f>
        <v>6.4739847127711983E-2</v>
      </c>
      <c r="AD34" s="17">
        <f>'[2]iWAT - GC Results (nmol g)'!AD34/1000</f>
        <v>8.38630297893624E-2</v>
      </c>
      <c r="AE34" s="17">
        <f>'[2]iWAT - GC Results (nmol g)'!AE34/1000</f>
        <v>8.5278514045003653E-2</v>
      </c>
      <c r="AF34" s="17">
        <f>'[2]iWAT - GC Results (nmol g)'!AF34/1000</f>
        <v>6.1203572083609402E-2</v>
      </c>
      <c r="AG34" s="17">
        <f>'[2]iWAT - GC Results (nmol g)'!AG34/1000</f>
        <v>6.7209347778344031E-2</v>
      </c>
      <c r="AH34" s="17">
        <f>'[2]iWAT - GC Results (nmol g)'!AH34/1000</f>
        <v>9.1007170252799308E-2</v>
      </c>
      <c r="AI34" s="9"/>
      <c r="AJ34" s="9"/>
    </row>
    <row r="35" spans="1:36" x14ac:dyDescent="0.2">
      <c r="A35" t="s">
        <v>42</v>
      </c>
      <c r="C35" s="17"/>
      <c r="D35" s="17">
        <f>'[2]iWAT - GC Results (nmol g)'!D35/1000</f>
        <v>9.8597608691520094E-3</v>
      </c>
      <c r="E35" s="17">
        <f>'[2]iWAT - GC Results (nmol g)'!E35/1000</f>
        <v>1.2595977217672763E-2</v>
      </c>
      <c r="F35" s="17">
        <f>'[2]iWAT - GC Results (nmol g)'!F35/1000</f>
        <v>1.0186350778306128E-2</v>
      </c>
      <c r="G35" s="17">
        <f>'[2]iWAT - GC Results (nmol g)'!G35/1000</f>
        <v>8.8148885044151727E-3</v>
      </c>
      <c r="H35" s="17">
        <f>'[2]iWAT - GC Results (nmol g)'!H35/1000</f>
        <v>1.160794320236733E-2</v>
      </c>
      <c r="I35" s="17">
        <f>'[2]iWAT - GC Results (nmol g)'!I35/1000</f>
        <v>8.9904073944564247E-3</v>
      </c>
      <c r="J35" s="17">
        <f>'[2]iWAT - GC Results (nmol g)'!J35/1000</f>
        <v>6.8923219014334035E-3</v>
      </c>
      <c r="K35" s="17">
        <f>'[2]iWAT - GC Results (nmol g)'!K35/1000</f>
        <v>6.8946003748312067E-3</v>
      </c>
      <c r="L35" s="17">
        <f>'[2]iWAT - GC Results (nmol g)'!L35/1000</f>
        <v>8.7378008881316381E-3</v>
      </c>
      <c r="M35" s="17"/>
      <c r="N35" s="17">
        <f>'[2]iWAT - GC Results (nmol g)'!N35/1000</f>
        <v>1.015506811449135E-2</v>
      </c>
      <c r="O35" s="17">
        <f>'[2]iWAT - GC Results (nmol g)'!O35/1000</f>
        <v>5.5298598649232682E-3</v>
      </c>
      <c r="P35" s="17">
        <f>'[2]iWAT - GC Results (nmol g)'!P35/1000</f>
        <v>8.2310614977758496E-3</v>
      </c>
      <c r="Q35" s="17"/>
      <c r="R35" s="17">
        <f>'[2]iWAT - GC Results (nmol g)'!R35/1000</f>
        <v>1.3475650726329941E-2</v>
      </c>
      <c r="S35" s="17">
        <f>'[2]iWAT - GC Results (nmol g)'!S35/1000</f>
        <v>8.9159450866254392E-3</v>
      </c>
      <c r="T35" s="17">
        <f>'[2]iWAT - GC Results (nmol g)'!T35/1000</f>
        <v>5.772016117208045E-3</v>
      </c>
      <c r="U35" s="17">
        <f>'[2]iWAT - GC Results (nmol g)'!U35/1000</f>
        <v>8.9954446010253823E-3</v>
      </c>
      <c r="V35" s="17">
        <f>'[2]iWAT - GC Results (nmol g)'!V35/1000</f>
        <v>1.1294296084153943E-2</v>
      </c>
      <c r="W35" s="17">
        <f>'[2]iWAT - GC Results (nmol g)'!W35/1000</f>
        <v>1.3770797260204137E-2</v>
      </c>
      <c r="X35" s="17"/>
      <c r="Y35" s="17">
        <f>'[2]iWAT - GC Results (nmol g)'!Y35/1000</f>
        <v>9.5715185989377564E-3</v>
      </c>
      <c r="Z35" s="17">
        <f>'[2]iWAT - GC Results (nmol g)'!Z35/1000</f>
        <v>4.2474358473841671E-3</v>
      </c>
      <c r="AA35" s="17">
        <f>'[2]iWAT - GC Results (nmol g)'!AA35/1000</f>
        <v>5.1054474052532103E-3</v>
      </c>
      <c r="AB35" s="17">
        <f>'[2]iWAT - GC Results (nmol g)'!AB35/1000</f>
        <v>9.0179115334808168E-3</v>
      </c>
      <c r="AC35" s="17">
        <f>'[2]iWAT - GC Results (nmol g)'!AC35/1000</f>
        <v>5.5831809190162191E-3</v>
      </c>
      <c r="AD35" s="17">
        <f>'[2]iWAT - GC Results (nmol g)'!AD35/1000</f>
        <v>6.9990131752710634E-3</v>
      </c>
      <c r="AE35" s="17">
        <f>'[2]iWAT - GC Results (nmol g)'!AE35/1000</f>
        <v>7.8066964058698942E-3</v>
      </c>
      <c r="AF35" s="17">
        <f>'[2]iWAT - GC Results (nmol g)'!AF35/1000</f>
        <v>1.0070221741121597E-2</v>
      </c>
      <c r="AG35" s="17">
        <f>'[2]iWAT - GC Results (nmol g)'!AG35/1000</f>
        <v>8.3581895308260396E-3</v>
      </c>
      <c r="AH35" s="17">
        <f>'[2]iWAT - GC Results (nmol g)'!AH35/1000</f>
        <v>3.2742547459434232E-3</v>
      </c>
      <c r="AI35" s="9"/>
      <c r="AJ35" s="9"/>
    </row>
    <row r="36" spans="1:36" x14ac:dyDescent="0.2">
      <c r="A36" t="s">
        <v>43</v>
      </c>
      <c r="C36" s="17"/>
      <c r="D36" s="17">
        <f>'[2]iWAT - GC Results (nmol g)'!D36/1000</f>
        <v>3.0788864420099146E-2</v>
      </c>
      <c r="E36" s="17">
        <f>'[2]iWAT - GC Results (nmol g)'!E36/1000</f>
        <v>3.666569838058005E-2</v>
      </c>
      <c r="F36" s="17">
        <f>'[2]iWAT - GC Results (nmol g)'!F36/1000</f>
        <v>3.6633339540805235E-2</v>
      </c>
      <c r="G36" s="17">
        <f>'[2]iWAT - GC Results (nmol g)'!G36/1000</f>
        <v>4.2475656725485735E-2</v>
      </c>
      <c r="H36" s="17">
        <f>'[2]iWAT - GC Results (nmol g)'!H36/1000</f>
        <v>3.6590395382102375E-2</v>
      </c>
      <c r="I36" s="17">
        <f>'[2]iWAT - GC Results (nmol g)'!I36/1000</f>
        <v>2.8896366855915831E-2</v>
      </c>
      <c r="J36" s="17">
        <f>'[2]iWAT - GC Results (nmol g)'!J36/1000</f>
        <v>2.5866145600187494E-2</v>
      </c>
      <c r="K36" s="17">
        <f>'[2]iWAT - GC Results (nmol g)'!K36/1000</f>
        <v>4.1173558422136353E-2</v>
      </c>
      <c r="L36" s="17">
        <f>'[2]iWAT - GC Results (nmol g)'!L36/1000</f>
        <v>3.5779035812203534E-2</v>
      </c>
      <c r="M36" s="17"/>
      <c r="N36" s="17">
        <f>'[2]iWAT - GC Results (nmol g)'!N36/1000</f>
        <v>3.368514488179556E-2</v>
      </c>
      <c r="O36" s="17">
        <f>'[2]iWAT - GC Results (nmol g)'!O36/1000</f>
        <v>2.6995056379064387E-2</v>
      </c>
      <c r="P36" s="17">
        <f>'[2]iWAT - GC Results (nmol g)'!P36/1000</f>
        <v>2.928301118100873E-2</v>
      </c>
      <c r="Q36" s="17"/>
      <c r="R36" s="17">
        <f>'[2]iWAT - GC Results (nmol g)'!R36/1000</f>
        <v>4.4470875571534174E-2</v>
      </c>
      <c r="S36" s="17">
        <f>'[2]iWAT - GC Results (nmol g)'!S36/1000</f>
        <v>3.4886697017330097E-2</v>
      </c>
      <c r="T36" s="17">
        <f>'[2]iWAT - GC Results (nmol g)'!T36/1000</f>
        <v>3.6508126529175559E-2</v>
      </c>
      <c r="U36" s="17">
        <f>'[2]iWAT - GC Results (nmol g)'!U36/1000</f>
        <v>2.5585192475825882E-2</v>
      </c>
      <c r="V36" s="17">
        <f>'[2]iWAT - GC Results (nmol g)'!V36/1000</f>
        <v>3.1785876473228586E-2</v>
      </c>
      <c r="W36" s="17">
        <f>'[2]iWAT - GC Results (nmol g)'!W36/1000</f>
        <v>5.3953332157252988E-2</v>
      </c>
      <c r="X36" s="17"/>
      <c r="Y36" s="17">
        <f>'[2]iWAT - GC Results (nmol g)'!Y36/1000</f>
        <v>2.4972882109344469E-2</v>
      </c>
      <c r="Z36" s="17">
        <f>'[2]iWAT - GC Results (nmol g)'!Z36/1000</f>
        <v>3.2950595390009378E-2</v>
      </c>
      <c r="AA36" s="17">
        <f>'[2]iWAT - GC Results (nmol g)'!AA36/1000</f>
        <v>4.0312733710163987E-2</v>
      </c>
      <c r="AB36" s="17">
        <f>'[2]iWAT - GC Results (nmol g)'!AB36/1000</f>
        <v>3.3592825667534271E-2</v>
      </c>
      <c r="AC36" s="17">
        <f>'[2]iWAT - GC Results (nmol g)'!AC36/1000</f>
        <v>3.0743575502579914E-2</v>
      </c>
      <c r="AD36" s="17">
        <f>'[2]iWAT - GC Results (nmol g)'!AD36/1000</f>
        <v>3.8622439953146605E-2</v>
      </c>
      <c r="AE36" s="17">
        <f>'[2]iWAT - GC Results (nmol g)'!AE36/1000</f>
        <v>4.0074601639305422E-2</v>
      </c>
      <c r="AF36" s="17">
        <f>'[2]iWAT - GC Results (nmol g)'!AF36/1000</f>
        <v>2.7625745881875722E-2</v>
      </c>
      <c r="AG36" s="17">
        <f>'[2]iWAT - GC Results (nmol g)'!AG36/1000</f>
        <v>1.9913123784710999E-2</v>
      </c>
      <c r="AH36" s="17">
        <f>'[2]iWAT - GC Results (nmol g)'!AH36/1000</f>
        <v>3.7530139317971951E-2</v>
      </c>
      <c r="AI36" s="9"/>
      <c r="AJ36" s="9"/>
    </row>
    <row r="37" spans="1:36" x14ac:dyDescent="0.2">
      <c r="A37" t="s">
        <v>44</v>
      </c>
      <c r="C37" s="17"/>
      <c r="D37" s="17">
        <f>'[2]iWAT - GC Results (nmol g)'!D37/1000</f>
        <v>3.5227276190897855E-2</v>
      </c>
      <c r="E37" s="17">
        <f>'[2]iWAT - GC Results (nmol g)'!E37/1000</f>
        <v>3.6689840085866371E-2</v>
      </c>
      <c r="F37" s="17">
        <f>'[2]iWAT - GC Results (nmol g)'!F37/1000</f>
        <v>3.985465995804327E-2</v>
      </c>
      <c r="G37" s="17">
        <f>'[2]iWAT - GC Results (nmol g)'!G37/1000</f>
        <v>3.9045537223714039E-2</v>
      </c>
      <c r="H37" s="17">
        <f>'[2]iWAT - GC Results (nmol g)'!H37/1000</f>
        <v>3.0160825616470363E-2</v>
      </c>
      <c r="I37" s="17">
        <f>'[2]iWAT - GC Results (nmol g)'!I37/1000</f>
        <v>2.9075713384477318E-2</v>
      </c>
      <c r="J37" s="17">
        <f>'[2]iWAT - GC Results (nmol g)'!J37/1000</f>
        <v>2.2448565556625225E-2</v>
      </c>
      <c r="K37" s="17">
        <f>'[2]iWAT - GC Results (nmol g)'!K37/1000</f>
        <v>3.212123587145374E-2</v>
      </c>
      <c r="L37" s="17">
        <f>'[2]iWAT - GC Results (nmol g)'!L37/1000</f>
        <v>3.1617902252524699E-2</v>
      </c>
      <c r="M37" s="17"/>
      <c r="N37" s="17">
        <f>'[2]iWAT - GC Results (nmol g)'!N37/1000</f>
        <v>3.3126708017000302E-2</v>
      </c>
      <c r="O37" s="17">
        <f>'[2]iWAT - GC Results (nmol g)'!O37/1000</f>
        <v>3.3789164289731555E-2</v>
      </c>
      <c r="P37" s="17">
        <f>'[2]iWAT - GC Results (nmol g)'!P37/1000</f>
        <v>3.3014645682836387E-2</v>
      </c>
      <c r="Q37" s="17"/>
      <c r="R37" s="17">
        <f>'[2]iWAT - GC Results (nmol g)'!R37/1000</f>
        <v>1.9985067063375897E-2</v>
      </c>
      <c r="S37" s="17">
        <f>'[2]iWAT - GC Results (nmol g)'!S37/1000</f>
        <v>1.795050848546011E-2</v>
      </c>
      <c r="T37" s="17">
        <f>'[2]iWAT - GC Results (nmol g)'!T37/1000</f>
        <v>1.1589925321203521E-2</v>
      </c>
      <c r="U37" s="17">
        <f>'[2]iWAT - GC Results (nmol g)'!U37/1000</f>
        <v>1.722972161890806E-2</v>
      </c>
      <c r="V37" s="17">
        <f>'[2]iWAT - GC Results (nmol g)'!V37/1000</f>
        <v>1.5007624552431412E-2</v>
      </c>
      <c r="W37" s="17">
        <f>'[2]iWAT - GC Results (nmol g)'!W37/1000</f>
        <v>1.7813952916873706E-2</v>
      </c>
      <c r="X37" s="17"/>
      <c r="Y37" s="17">
        <f>'[2]iWAT - GC Results (nmol g)'!Y37/1000</f>
        <v>1.3145167677914744E-2</v>
      </c>
      <c r="Z37" s="17">
        <f>'[2]iWAT - GC Results (nmol g)'!Z37/1000</f>
        <v>1.214854425014371E-2</v>
      </c>
      <c r="AA37" s="17">
        <f>'[2]iWAT - GC Results (nmol g)'!AA37/1000</f>
        <v>1.1380620442247549E-2</v>
      </c>
      <c r="AB37" s="17">
        <f>'[2]iWAT - GC Results (nmol g)'!AB37/1000</f>
        <v>1.7290832665419687E-2</v>
      </c>
      <c r="AC37" s="17">
        <f>'[2]iWAT - GC Results (nmol g)'!AC37/1000</f>
        <v>1.3683075523883103E-2</v>
      </c>
      <c r="AD37" s="17">
        <f>'[2]iWAT - GC Results (nmol g)'!AD37/1000</f>
        <v>1.4422006524653773E-2</v>
      </c>
      <c r="AE37" s="17">
        <f>'[2]iWAT - GC Results (nmol g)'!AE37/1000</f>
        <v>1.4113895686980776E-2</v>
      </c>
      <c r="AF37" s="17">
        <f>'[2]iWAT - GC Results (nmol g)'!AF37/1000</f>
        <v>1.2059093690858974E-2</v>
      </c>
      <c r="AG37" s="17">
        <f>'[2]iWAT - GC Results (nmol g)'!AG37/1000</f>
        <v>1.3214201044910617E-2</v>
      </c>
      <c r="AH37" s="17">
        <f>'[2]iWAT - GC Results (nmol g)'!AH37/1000</f>
        <v>1.0318843585619814E-2</v>
      </c>
      <c r="AI37" s="9"/>
      <c r="AJ37" s="9"/>
    </row>
    <row r="38" spans="1:36" x14ac:dyDescent="0.2">
      <c r="A38" t="s">
        <v>45</v>
      </c>
      <c r="C38" s="17"/>
      <c r="D38" s="17">
        <f>'[2]iWAT - GC Results (nmol g)'!D38/1000</f>
        <v>0</v>
      </c>
      <c r="E38" s="17">
        <f>'[2]iWAT - GC Results (nmol g)'!E38/1000</f>
        <v>0</v>
      </c>
      <c r="F38" s="17">
        <f>'[2]iWAT - GC Results (nmol g)'!F38/1000</f>
        <v>0</v>
      </c>
      <c r="G38" s="17">
        <f>'[2]iWAT - GC Results (nmol g)'!G38/1000</f>
        <v>0</v>
      </c>
      <c r="H38" s="17">
        <f>'[2]iWAT - GC Results (nmol g)'!H38/1000</f>
        <v>0</v>
      </c>
      <c r="I38" s="17">
        <f>'[2]iWAT - GC Results (nmol g)'!I38/1000</f>
        <v>0</v>
      </c>
      <c r="J38" s="17">
        <f>'[2]iWAT - GC Results (nmol g)'!J38/1000</f>
        <v>0</v>
      </c>
      <c r="K38" s="17">
        <f>'[2]iWAT - GC Results (nmol g)'!K38/1000</f>
        <v>0</v>
      </c>
      <c r="L38" s="17">
        <f>'[2]iWAT - GC Results (nmol g)'!L38/1000</f>
        <v>0</v>
      </c>
      <c r="M38" s="17"/>
      <c r="N38" s="17">
        <f>'[2]iWAT - GC Results (nmol g)'!N38/1000</f>
        <v>0</v>
      </c>
      <c r="O38" s="17">
        <f>'[2]iWAT - GC Results (nmol g)'!O38/1000</f>
        <v>0</v>
      </c>
      <c r="P38" s="17">
        <f>'[2]iWAT - GC Results (nmol g)'!P38/1000</f>
        <v>0</v>
      </c>
      <c r="Q38" s="17"/>
      <c r="R38" s="17">
        <f>'[2]iWAT - GC Results (nmol g)'!R38/1000</f>
        <v>0</v>
      </c>
      <c r="S38" s="17">
        <f>'[2]iWAT - GC Results (nmol g)'!S38/1000</f>
        <v>0</v>
      </c>
      <c r="T38" s="17">
        <f>'[2]iWAT - GC Results (nmol g)'!T38/1000</f>
        <v>0</v>
      </c>
      <c r="U38" s="17">
        <f>'[2]iWAT - GC Results (nmol g)'!U38/1000</f>
        <v>0</v>
      </c>
      <c r="V38" s="17">
        <f>'[2]iWAT - GC Results (nmol g)'!V38/1000</f>
        <v>0</v>
      </c>
      <c r="W38" s="17">
        <f>'[2]iWAT - GC Results (nmol g)'!W38/1000</f>
        <v>0</v>
      </c>
      <c r="X38" s="17"/>
      <c r="Y38" s="17">
        <f>'[2]iWAT - GC Results (nmol g)'!Y38/1000</f>
        <v>0</v>
      </c>
      <c r="Z38" s="17">
        <f>'[2]iWAT - GC Results (nmol g)'!Z38/1000</f>
        <v>0</v>
      </c>
      <c r="AA38" s="17">
        <f>'[2]iWAT - GC Results (nmol g)'!AA38/1000</f>
        <v>0</v>
      </c>
      <c r="AB38" s="17">
        <f>'[2]iWAT - GC Results (nmol g)'!AB38/1000</f>
        <v>0</v>
      </c>
      <c r="AC38" s="17">
        <f>'[2]iWAT - GC Results (nmol g)'!AC38/1000</f>
        <v>0</v>
      </c>
      <c r="AD38" s="17">
        <f>'[2]iWAT - GC Results (nmol g)'!AD38/1000</f>
        <v>0</v>
      </c>
      <c r="AE38" s="17">
        <f>'[2]iWAT - GC Results (nmol g)'!AE38/1000</f>
        <v>0</v>
      </c>
      <c r="AF38" s="17">
        <f>'[2]iWAT - GC Results (nmol g)'!AF38/1000</f>
        <v>0</v>
      </c>
      <c r="AG38" s="17">
        <f>'[2]iWAT - GC Results (nmol g)'!AG38/1000</f>
        <v>0</v>
      </c>
      <c r="AH38" s="17">
        <f>'[2]iWAT - GC Results (nmol g)'!AH38/1000</f>
        <v>0</v>
      </c>
      <c r="AI38" s="9"/>
      <c r="AJ38" s="9"/>
    </row>
    <row r="39" spans="1:36" x14ac:dyDescent="0.2">
      <c r="A39" t="s">
        <v>46</v>
      </c>
      <c r="C39" s="17"/>
      <c r="D39" s="17">
        <f>'[2]iWAT - GC Results (nmol g)'!D39/1000</f>
        <v>0</v>
      </c>
      <c r="E39" s="17">
        <f>'[2]iWAT - GC Results (nmol g)'!E39/1000</f>
        <v>0</v>
      </c>
      <c r="F39" s="17">
        <f>'[2]iWAT - GC Results (nmol g)'!F39/1000</f>
        <v>0</v>
      </c>
      <c r="G39" s="17">
        <f>'[2]iWAT - GC Results (nmol g)'!G39/1000</f>
        <v>0</v>
      </c>
      <c r="H39" s="17">
        <f>'[2]iWAT - GC Results (nmol g)'!H39/1000</f>
        <v>0</v>
      </c>
      <c r="I39" s="17">
        <f>'[2]iWAT - GC Results (nmol g)'!I39/1000</f>
        <v>0</v>
      </c>
      <c r="J39" s="17">
        <f>'[2]iWAT - GC Results (nmol g)'!J39/1000</f>
        <v>0</v>
      </c>
      <c r="K39" s="17">
        <f>'[2]iWAT - GC Results (nmol g)'!K39/1000</f>
        <v>0</v>
      </c>
      <c r="L39" s="17">
        <f>'[2]iWAT - GC Results (nmol g)'!L39/1000</f>
        <v>0</v>
      </c>
      <c r="M39" s="17"/>
      <c r="N39" s="17">
        <f>'[2]iWAT - GC Results (nmol g)'!N39/1000</f>
        <v>0</v>
      </c>
      <c r="O39" s="17">
        <f>'[2]iWAT - GC Results (nmol g)'!O39/1000</f>
        <v>0</v>
      </c>
      <c r="P39" s="17">
        <f>'[2]iWAT - GC Results (nmol g)'!P39/1000</f>
        <v>0</v>
      </c>
      <c r="Q39" s="17"/>
      <c r="R39" s="17">
        <f>'[2]iWAT - GC Results (nmol g)'!R39/1000</f>
        <v>0</v>
      </c>
      <c r="S39" s="17">
        <f>'[2]iWAT - GC Results (nmol g)'!S39/1000</f>
        <v>0</v>
      </c>
      <c r="T39" s="17">
        <f>'[2]iWAT - GC Results (nmol g)'!T39/1000</f>
        <v>0</v>
      </c>
      <c r="U39" s="17">
        <f>'[2]iWAT - GC Results (nmol g)'!U39/1000</f>
        <v>0</v>
      </c>
      <c r="V39" s="17">
        <f>'[2]iWAT - GC Results (nmol g)'!V39/1000</f>
        <v>0</v>
      </c>
      <c r="W39" s="17">
        <f>'[2]iWAT - GC Results (nmol g)'!W39/1000</f>
        <v>0</v>
      </c>
      <c r="X39" s="17"/>
      <c r="Y39" s="17">
        <f>'[2]iWAT - GC Results (nmol g)'!Y39/1000</f>
        <v>0</v>
      </c>
      <c r="Z39" s="17">
        <f>'[2]iWAT - GC Results (nmol g)'!Z39/1000</f>
        <v>0</v>
      </c>
      <c r="AA39" s="17">
        <f>'[2]iWAT - GC Results (nmol g)'!AA39/1000</f>
        <v>0</v>
      </c>
      <c r="AB39" s="17">
        <f>'[2]iWAT - GC Results (nmol g)'!AB39/1000</f>
        <v>0</v>
      </c>
      <c r="AC39" s="17">
        <f>'[2]iWAT - GC Results (nmol g)'!AC39/1000</f>
        <v>0</v>
      </c>
      <c r="AD39" s="17">
        <f>'[2]iWAT - GC Results (nmol g)'!AD39/1000</f>
        <v>0</v>
      </c>
      <c r="AE39" s="17">
        <f>'[2]iWAT - GC Results (nmol g)'!AE39/1000</f>
        <v>0</v>
      </c>
      <c r="AF39" s="17">
        <f>'[2]iWAT - GC Results (nmol g)'!AF39/1000</f>
        <v>0</v>
      </c>
      <c r="AG39" s="17">
        <f>'[2]iWAT - GC Results (nmol g)'!AG39/1000</f>
        <v>0</v>
      </c>
      <c r="AH39" s="17">
        <f>'[2]iWAT - GC Results (nmol g)'!AH39/1000</f>
        <v>0</v>
      </c>
      <c r="AI39" s="9"/>
      <c r="AJ39" s="9"/>
    </row>
    <row r="40" spans="1:36" x14ac:dyDescent="0.2">
      <c r="A40" t="s">
        <v>47</v>
      </c>
      <c r="C40" s="17"/>
      <c r="D40" s="17">
        <f>'[2]iWAT - GC Results (nmol g)'!D40/1000</f>
        <v>1.8885539583662472E-2</v>
      </c>
      <c r="E40" s="17">
        <f>'[2]iWAT - GC Results (nmol g)'!E40/1000</f>
        <v>2.4415487667911986E-2</v>
      </c>
      <c r="F40" s="17">
        <f>'[2]iWAT - GC Results (nmol g)'!F40/1000</f>
        <v>2.1402100531563804E-2</v>
      </c>
      <c r="G40" s="17">
        <f>'[2]iWAT - GC Results (nmol g)'!G40/1000</f>
        <v>2.4671261928458213E-2</v>
      </c>
      <c r="H40" s="17">
        <f>'[2]iWAT - GC Results (nmol g)'!H40/1000</f>
        <v>2.4813621749923007E-2</v>
      </c>
      <c r="I40" s="17">
        <f>'[2]iWAT - GC Results (nmol g)'!I40/1000</f>
        <v>1.8505020046663233E-2</v>
      </c>
      <c r="J40" s="17">
        <f>'[2]iWAT - GC Results (nmol g)'!J40/1000</f>
        <v>1.5065445602213859E-2</v>
      </c>
      <c r="K40" s="17">
        <f>'[2]iWAT - GC Results (nmol g)'!K40/1000</f>
        <v>2.3636965458227806E-2</v>
      </c>
      <c r="L40" s="17">
        <f>'[2]iWAT - GC Results (nmol g)'!L40/1000</f>
        <v>1.7389217697588152E-2</v>
      </c>
      <c r="M40" s="17"/>
      <c r="N40" s="17">
        <f>'[2]iWAT - GC Results (nmol g)'!N40/1000</f>
        <v>2.4587085414918448E-2</v>
      </c>
      <c r="O40" s="17">
        <f>'[2]iWAT - GC Results (nmol g)'!O40/1000</f>
        <v>1.913494735764746E-2</v>
      </c>
      <c r="P40" s="17">
        <f>'[2]iWAT - GC Results (nmol g)'!P40/1000</f>
        <v>1.7163954224771173E-2</v>
      </c>
      <c r="Q40" s="17"/>
      <c r="R40" s="17">
        <f>'[2]iWAT - GC Results (nmol g)'!R40/1000</f>
        <v>3.1619350145586568E-2</v>
      </c>
      <c r="S40" s="17">
        <f>'[2]iWAT - GC Results (nmol g)'!S40/1000</f>
        <v>2.26764628163794E-2</v>
      </c>
      <c r="T40" s="17">
        <f>'[2]iWAT - GC Results (nmol g)'!T40/1000</f>
        <v>2.4181725613482814E-2</v>
      </c>
      <c r="U40" s="17">
        <f>'[2]iWAT - GC Results (nmol g)'!U40/1000</f>
        <v>2.2831174075129513E-2</v>
      </c>
      <c r="V40" s="17">
        <f>'[2]iWAT - GC Results (nmol g)'!V40/1000</f>
        <v>2.3399060441812201E-2</v>
      </c>
      <c r="W40" s="17">
        <f>'[2]iWAT - GC Results (nmol g)'!W40/1000</f>
        <v>3.430490097539636E-2</v>
      </c>
      <c r="X40" s="17"/>
      <c r="Y40" s="17">
        <f>'[2]iWAT - GC Results (nmol g)'!Y40/1000</f>
        <v>1.7718839458090108E-2</v>
      </c>
      <c r="Z40" s="17">
        <f>'[2]iWAT - GC Results (nmol g)'!Z40/1000</f>
        <v>1.8198194248795214E-2</v>
      </c>
      <c r="AA40" s="17">
        <f>'[2]iWAT - GC Results (nmol g)'!AA40/1000</f>
        <v>3.1057220768242425E-2</v>
      </c>
      <c r="AB40" s="17">
        <f>'[2]iWAT - GC Results (nmol g)'!AB40/1000</f>
        <v>2.8680621905856914E-2</v>
      </c>
      <c r="AC40" s="17">
        <f>'[2]iWAT - GC Results (nmol g)'!AC40/1000</f>
        <v>1.6909031674660967E-2</v>
      </c>
      <c r="AD40" s="17">
        <f>'[2]iWAT - GC Results (nmol g)'!AD40/1000</f>
        <v>2.2518826733780695E-2</v>
      </c>
      <c r="AE40" s="17">
        <f>'[2]iWAT - GC Results (nmol g)'!AE40/1000</f>
        <v>2.6652880877635982E-2</v>
      </c>
      <c r="AF40" s="17">
        <f>'[2]iWAT - GC Results (nmol g)'!AF40/1000</f>
        <v>2.0751906397043201E-2</v>
      </c>
      <c r="AG40" s="17">
        <f>'[2]iWAT - GC Results (nmol g)'!AG40/1000</f>
        <v>1.9952136256648777E-2</v>
      </c>
      <c r="AH40" s="17">
        <f>'[2]iWAT - GC Results (nmol g)'!AH40/1000</f>
        <v>1.8805921858918682E-2</v>
      </c>
      <c r="AI40" s="9"/>
      <c r="AJ40" s="9"/>
    </row>
    <row r="41" spans="1:36" x14ac:dyDescent="0.2">
      <c r="A41" s="3"/>
      <c r="B41" s="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9"/>
      <c r="AJ41" s="9"/>
    </row>
    <row r="42" spans="1:36" x14ac:dyDescent="0.2">
      <c r="A42" s="10" t="s">
        <v>48</v>
      </c>
      <c r="B42" s="3"/>
      <c r="C42" s="13"/>
      <c r="D42" s="13">
        <f>SUM(D26:D40)</f>
        <v>7.4856886179466624</v>
      </c>
      <c r="E42" s="13">
        <f>SUM(E26:E40)</f>
        <v>7.4541783498806788</v>
      </c>
      <c r="F42" s="13">
        <f>SUM(F26:F40)</f>
        <v>6.4565319679870061</v>
      </c>
      <c r="G42" s="13">
        <f>SUM(G26:G40)</f>
        <v>5.7331760905910576</v>
      </c>
      <c r="H42" s="13">
        <f>SUM(H26:H40)</f>
        <v>5.9411745032950645</v>
      </c>
      <c r="I42" s="13">
        <f>SUM(I26:I40)</f>
        <v>5.3531972866378839</v>
      </c>
      <c r="J42" s="13">
        <f>SUM(J26:J40)</f>
        <v>4.3352166633802627</v>
      </c>
      <c r="K42" s="13">
        <f>SUM(K26:K40)</f>
        <v>8.049294569597059</v>
      </c>
      <c r="L42" s="13">
        <f>SUM(L26:L40)</f>
        <v>5.8502244328470026</v>
      </c>
      <c r="M42" s="13"/>
      <c r="N42" s="13">
        <f>SUM(N26:N40)</f>
        <v>5.2373883231192293</v>
      </c>
      <c r="O42" s="13">
        <f>SUM(O26:O40)</f>
        <v>5.5765896523435092</v>
      </c>
      <c r="P42" s="13">
        <f>SUM(P26:P40)</f>
        <v>5.3398961342575948</v>
      </c>
      <c r="Q42" s="13"/>
      <c r="R42" s="13">
        <f>SUM(R26:R40)</f>
        <v>7.895043816150392</v>
      </c>
      <c r="S42" s="13">
        <f>SUM(S26:S40)</f>
        <v>8.399173440296968</v>
      </c>
      <c r="T42" s="13">
        <f>SUM(T26:T40)</f>
        <v>8.2826241258095692</v>
      </c>
      <c r="U42" s="13">
        <f>SUM(U26:U40)</f>
        <v>7.3516534467593209</v>
      </c>
      <c r="V42" s="13">
        <f>SUM(V26:V40)</f>
        <v>5.2700683782660667</v>
      </c>
      <c r="W42" s="13">
        <f>SUM(W26:W40)</f>
        <v>8.6487989620366825</v>
      </c>
      <c r="X42" s="13"/>
      <c r="Y42" s="13">
        <f>SUM(Y26:Y40)</f>
        <v>7.6735824284144458</v>
      </c>
      <c r="Z42" s="13">
        <f>SUM(Z26:Z40)</f>
        <v>6.6775639828149016</v>
      </c>
      <c r="AA42" s="13">
        <f>SUM(AA26:AA40)</f>
        <v>6.282263312143427</v>
      </c>
      <c r="AB42" s="13">
        <f>SUM(AB26:AB40)</f>
        <v>7.0173277099485132</v>
      </c>
      <c r="AC42" s="13">
        <f>SUM(AC26:AC40)</f>
        <v>5.8751175664000934</v>
      </c>
      <c r="AD42" s="13">
        <f>SUM(AD26:AD40)</f>
        <v>7.1765628217819675</v>
      </c>
      <c r="AE42" s="13">
        <f>SUM(AE26:AE40)</f>
        <v>7.8917456212615926</v>
      </c>
      <c r="AF42" s="13">
        <f>SUM(AF26:AF40)</f>
        <v>6.7323955708099188</v>
      </c>
      <c r="AG42" s="13">
        <f>SUM(AG26:AG40)</f>
        <v>6.4459098453782806</v>
      </c>
      <c r="AH42" s="13">
        <f>SUM(AH26:AH40)</f>
        <v>7.4708383438858581</v>
      </c>
      <c r="AI42" s="11"/>
      <c r="AJ42" s="11"/>
    </row>
    <row r="43" spans="1:36" x14ac:dyDescent="0.2">
      <c r="A43" s="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spans="1:36" x14ac:dyDescent="0.2">
      <c r="A44" s="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3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6" spans="1:36" ht="16" x14ac:dyDescent="0.2">
      <c r="A46" s="2" t="s">
        <v>51</v>
      </c>
      <c r="B46" s="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 x14ac:dyDescent="0.2">
      <c r="A47" s="4" t="s">
        <v>2</v>
      </c>
      <c r="C47" s="5" t="s">
        <v>81</v>
      </c>
      <c r="D47" s="5" t="s">
        <v>80</v>
      </c>
      <c r="E47" s="5" t="s">
        <v>79</v>
      </c>
      <c r="F47" s="5" t="s">
        <v>78</v>
      </c>
      <c r="G47" s="5" t="s">
        <v>77</v>
      </c>
      <c r="H47" s="5" t="s">
        <v>76</v>
      </c>
      <c r="I47" s="5" t="s">
        <v>75</v>
      </c>
      <c r="J47" s="5" t="s">
        <v>74</v>
      </c>
      <c r="K47" s="5" t="s">
        <v>73</v>
      </c>
      <c r="L47" s="5" t="s">
        <v>72</v>
      </c>
      <c r="M47" s="5"/>
      <c r="N47" s="5" t="s">
        <v>71</v>
      </c>
      <c r="O47" s="5" t="s">
        <v>70</v>
      </c>
      <c r="P47" s="5" t="s">
        <v>69</v>
      </c>
      <c r="Q47" s="5" t="s">
        <v>68</v>
      </c>
      <c r="R47" s="5" t="s">
        <v>67</v>
      </c>
      <c r="S47" s="5" t="s">
        <v>66</v>
      </c>
      <c r="T47" s="5" t="s">
        <v>65</v>
      </c>
      <c r="U47" s="5"/>
      <c r="V47" s="5" t="s">
        <v>63</v>
      </c>
      <c r="W47" s="5" t="s">
        <v>62</v>
      </c>
      <c r="X47" s="5"/>
      <c r="Y47" s="5" t="s">
        <v>61</v>
      </c>
      <c r="Z47" s="5" t="s">
        <v>60</v>
      </c>
      <c r="AA47" s="5" t="s">
        <v>59</v>
      </c>
      <c r="AB47" s="5" t="s">
        <v>58</v>
      </c>
      <c r="AC47" s="5" t="s">
        <v>57</v>
      </c>
      <c r="AD47" s="5" t="s">
        <v>56</v>
      </c>
      <c r="AE47" s="5" t="s">
        <v>55</v>
      </c>
      <c r="AF47" s="5" t="s">
        <v>54</v>
      </c>
      <c r="AG47" s="5" t="s">
        <v>53</v>
      </c>
      <c r="AH47" s="5" t="s">
        <v>52</v>
      </c>
      <c r="AI47" s="7"/>
      <c r="AJ47" s="7"/>
    </row>
    <row r="48" spans="1:36" x14ac:dyDescent="0.2">
      <c r="A48" t="s">
        <v>33</v>
      </c>
      <c r="C48" s="8">
        <f>'[2]iWAT - GC Results (nmol g)'!C48/1000</f>
        <v>15.983893040257103</v>
      </c>
      <c r="D48" s="8">
        <f>'[2]iWAT - GC Results (nmol g)'!D48/1000</f>
        <v>22.126459663599459</v>
      </c>
      <c r="E48" s="8">
        <f>'[2]iWAT - GC Results (nmol g)'!E48/1000</f>
        <v>18.504432435882205</v>
      </c>
      <c r="F48" s="8">
        <f>'[2]iWAT - GC Results (nmol g)'!F48/1000</f>
        <v>19.530342944723159</v>
      </c>
      <c r="G48" s="8">
        <f>'[2]iWAT - GC Results (nmol g)'!G48/1000</f>
        <v>21.554844758062799</v>
      </c>
      <c r="H48" s="8">
        <f>'[2]iWAT - GC Results (nmol g)'!H48/1000</f>
        <v>21.19913036314038</v>
      </c>
      <c r="I48" s="8">
        <f>'[2]iWAT - GC Results (nmol g)'!I48/1000</f>
        <v>16.761633304068187</v>
      </c>
      <c r="J48" s="8">
        <f>'[2]iWAT - GC Results (nmol g)'!J48/1000</f>
        <v>14.367783988863261</v>
      </c>
      <c r="K48" s="8">
        <f>'[2]iWAT - GC Results (nmol g)'!K48/1000</f>
        <v>15.984547591865688</v>
      </c>
      <c r="L48" s="8">
        <f>'[2]iWAT - GC Results (nmol g)'!L48/1000</f>
        <v>19.839073221078525</v>
      </c>
      <c r="M48" s="8"/>
      <c r="N48" s="8">
        <f>'[2]iWAT - GC Results (nmol g)'!N48/1000</f>
        <v>18.433136954770163</v>
      </c>
      <c r="O48" s="8">
        <f>'[2]iWAT - GC Results (nmol g)'!O48/1000</f>
        <v>18.185031714083362</v>
      </c>
      <c r="P48" s="8">
        <f>'[2]iWAT - GC Results (nmol g)'!P48/1000</f>
        <v>19.159709436170434</v>
      </c>
      <c r="Q48" s="8">
        <f>'[2]iWAT - GC Results (nmol g)'!Q48/1000</f>
        <v>16.025472203897191</v>
      </c>
      <c r="R48" s="8">
        <f>'[2]iWAT - GC Results (nmol g)'!R48/1000</f>
        <v>26.792381683413225</v>
      </c>
      <c r="S48" s="8">
        <f>'[2]iWAT - GC Results (nmol g)'!S48/1000</f>
        <v>17.361958439408383</v>
      </c>
      <c r="T48" s="8">
        <f>'[2]iWAT - GC Results (nmol g)'!T48/1000</f>
        <v>19.083827070160261</v>
      </c>
      <c r="U48" s="8"/>
      <c r="V48" s="8">
        <f>'[2]iWAT - GC Results (nmol g)'!V48/1000</f>
        <v>19.750487226191407</v>
      </c>
      <c r="W48" s="8">
        <f>'[2]iWAT - GC Results (nmol g)'!W48/1000</f>
        <v>18.836333174095572</v>
      </c>
      <c r="X48" s="8"/>
      <c r="Y48" s="8">
        <f>'[2]iWAT - GC Results (nmol g)'!Y48/1000</f>
        <v>20.539599193889146</v>
      </c>
      <c r="Z48" s="8">
        <f>'[2]iWAT - GC Results (nmol g)'!Z48/1000</f>
        <v>20.068040087147374</v>
      </c>
      <c r="AA48" s="8">
        <f>'[2]iWAT - GC Results (nmol g)'!AA48/1000</f>
        <v>20.151143894470678</v>
      </c>
      <c r="AB48" s="8">
        <f>'[2]iWAT - GC Results (nmol g)'!AB48/1000</f>
        <v>19.749877988679728</v>
      </c>
      <c r="AC48" s="8">
        <f>'[2]iWAT - GC Results (nmol g)'!AC48/1000</f>
        <v>18.566857747672699</v>
      </c>
      <c r="AD48" s="8">
        <f>'[2]iWAT - GC Results (nmol g)'!AD48/1000</f>
        <v>17.310759750458825</v>
      </c>
      <c r="AE48" s="8">
        <f>'[2]iWAT - GC Results (nmol g)'!AE48/1000</f>
        <v>17.372491673212924</v>
      </c>
      <c r="AF48" s="8">
        <f>'[2]iWAT - GC Results (nmol g)'!AF48/1000</f>
        <v>14.525977623986055</v>
      </c>
      <c r="AG48" s="8">
        <f>'[2]iWAT - GC Results (nmol g)'!AG48/1000</f>
        <v>16.213121731699918</v>
      </c>
      <c r="AH48" s="8">
        <f>'[2]iWAT - GC Results (nmol g)'!AH48/1000</f>
        <v>16.822293831069345</v>
      </c>
      <c r="AI48" s="9"/>
      <c r="AJ48" s="9"/>
    </row>
    <row r="49" spans="1:36" x14ac:dyDescent="0.2">
      <c r="A49" t="s">
        <v>35</v>
      </c>
      <c r="C49" s="8">
        <f>'[2]iWAT - GC Results (nmol g)'!C49/1000</f>
        <v>342.71644469770877</v>
      </c>
      <c r="D49" s="8">
        <f>'[2]iWAT - GC Results (nmol g)'!D49/1000</f>
        <v>453.69138933389502</v>
      </c>
      <c r="E49" s="8">
        <f>'[2]iWAT - GC Results (nmol g)'!E49/1000</f>
        <v>439.10494001574995</v>
      </c>
      <c r="F49" s="8">
        <f>'[2]iWAT - GC Results (nmol g)'!F49/1000</f>
        <v>456.1401297433847</v>
      </c>
      <c r="G49" s="8">
        <f>'[2]iWAT - GC Results (nmol g)'!G49/1000</f>
        <v>498.0896907685634</v>
      </c>
      <c r="H49" s="8">
        <f>'[2]iWAT - GC Results (nmol g)'!H49/1000</f>
        <v>409.57652592916486</v>
      </c>
      <c r="I49" s="8">
        <f>'[2]iWAT - GC Results (nmol g)'!I49/1000</f>
        <v>414.48530321693733</v>
      </c>
      <c r="J49" s="8">
        <f>'[2]iWAT - GC Results (nmol g)'!J49/1000</f>
        <v>335.50451220970842</v>
      </c>
      <c r="K49" s="8">
        <f>'[2]iWAT - GC Results (nmol g)'!K49/1000</f>
        <v>402.24096089809069</v>
      </c>
      <c r="L49" s="8">
        <f>'[2]iWAT - GC Results (nmol g)'!L49/1000</f>
        <v>424.03359209550871</v>
      </c>
      <c r="M49" s="8"/>
      <c r="N49" s="8">
        <f>'[2]iWAT - GC Results (nmol g)'!N49/1000</f>
        <v>392.071126833498</v>
      </c>
      <c r="O49" s="8">
        <f>'[2]iWAT - GC Results (nmol g)'!O49/1000</f>
        <v>360.56978017240539</v>
      </c>
      <c r="P49" s="8">
        <f>'[2]iWAT - GC Results (nmol g)'!P49/1000</f>
        <v>324.40844444769266</v>
      </c>
      <c r="Q49" s="8">
        <f>'[2]iWAT - GC Results (nmol g)'!Q49/1000</f>
        <v>368.52575556790526</v>
      </c>
      <c r="R49" s="8">
        <f>'[2]iWAT - GC Results (nmol g)'!R49/1000</f>
        <v>510.08320456079036</v>
      </c>
      <c r="S49" s="8">
        <f>'[2]iWAT - GC Results (nmol g)'!S49/1000</f>
        <v>363.18834618347489</v>
      </c>
      <c r="T49" s="8">
        <f>'[2]iWAT - GC Results (nmol g)'!T49/1000</f>
        <v>371.59631395200699</v>
      </c>
      <c r="U49" s="8"/>
      <c r="V49" s="8">
        <f>'[2]iWAT - GC Results (nmol g)'!V49/1000</f>
        <v>357.98001906783196</v>
      </c>
      <c r="W49" s="8">
        <f>'[2]iWAT - GC Results (nmol g)'!W49/1000</f>
        <v>415.40225959386095</v>
      </c>
      <c r="X49" s="8"/>
      <c r="Y49" s="8">
        <f>'[2]iWAT - GC Results (nmol g)'!Y49/1000</f>
        <v>401.47704225090627</v>
      </c>
      <c r="Z49" s="8">
        <f>'[2]iWAT - GC Results (nmol g)'!Z49/1000</f>
        <v>402.30047761179299</v>
      </c>
      <c r="AA49" s="8">
        <f>'[2]iWAT - GC Results (nmol g)'!AA49/1000</f>
        <v>369.2472102448134</v>
      </c>
      <c r="AB49" s="8">
        <f>'[2]iWAT - GC Results (nmol g)'!AB49/1000</f>
        <v>434.04019497669367</v>
      </c>
      <c r="AC49" s="8">
        <f>'[2]iWAT - GC Results (nmol g)'!AC49/1000</f>
        <v>390.54681706079793</v>
      </c>
      <c r="AD49" s="8">
        <f>'[2]iWAT - GC Results (nmol g)'!AD49/1000</f>
        <v>390.71512388238648</v>
      </c>
      <c r="AE49" s="8">
        <f>'[2]iWAT - GC Results (nmol g)'!AE49/1000</f>
        <v>373.11389820290503</v>
      </c>
      <c r="AF49" s="8">
        <f>'[2]iWAT - GC Results (nmol g)'!AF49/1000</f>
        <v>335.67490473485782</v>
      </c>
      <c r="AG49" s="8">
        <f>'[2]iWAT - GC Results (nmol g)'!AG49/1000</f>
        <v>344.20207648339118</v>
      </c>
      <c r="AH49" s="8">
        <f>'[2]iWAT - GC Results (nmol g)'!AH49/1000</f>
        <v>338.68089850067696</v>
      </c>
      <c r="AI49" s="9"/>
      <c r="AJ49" s="9"/>
    </row>
    <row r="50" spans="1:36" x14ac:dyDescent="0.2">
      <c r="A50" t="s">
        <v>36</v>
      </c>
      <c r="C50" s="8">
        <f>'[2]iWAT - GC Results (nmol g)'!C50/1000</f>
        <v>70.545381689448178</v>
      </c>
      <c r="D50" s="8">
        <f>'[2]iWAT - GC Results (nmol g)'!D50/1000</f>
        <v>86.647085057619208</v>
      </c>
      <c r="E50" s="8">
        <f>'[2]iWAT - GC Results (nmol g)'!E50/1000</f>
        <v>92.21155765369727</v>
      </c>
      <c r="F50" s="8">
        <f>'[2]iWAT - GC Results (nmol g)'!F50/1000</f>
        <v>66.386998626858471</v>
      </c>
      <c r="G50" s="8">
        <f>'[2]iWAT - GC Results (nmol g)'!G50/1000</f>
        <v>98.464971945702374</v>
      </c>
      <c r="H50" s="8">
        <f>'[2]iWAT - GC Results (nmol g)'!H50/1000</f>
        <v>83.828129674162426</v>
      </c>
      <c r="I50" s="8">
        <f>'[2]iWAT - GC Results (nmol g)'!I50/1000</f>
        <v>71.61224048467129</v>
      </c>
      <c r="J50" s="8">
        <f>'[2]iWAT - GC Results (nmol g)'!J50/1000</f>
        <v>47.187691185837529</v>
      </c>
      <c r="K50" s="8">
        <f>'[2]iWAT - GC Results (nmol g)'!K50/1000</f>
        <v>82.431377385922431</v>
      </c>
      <c r="L50" s="8">
        <f>'[2]iWAT - GC Results (nmol g)'!L50/1000</f>
        <v>91.580800431569969</v>
      </c>
      <c r="M50" s="8"/>
      <c r="N50" s="8">
        <f>'[2]iWAT - GC Results (nmol g)'!N50/1000</f>
        <v>83.703338186127894</v>
      </c>
      <c r="O50" s="8">
        <f>'[2]iWAT - GC Results (nmol g)'!O50/1000</f>
        <v>74.32698791202202</v>
      </c>
      <c r="P50" s="8">
        <f>'[2]iWAT - GC Results (nmol g)'!P50/1000</f>
        <v>62.844578484311569</v>
      </c>
      <c r="Q50" s="8">
        <f>'[2]iWAT - GC Results (nmol g)'!Q50/1000</f>
        <v>69.026256394692922</v>
      </c>
      <c r="R50" s="8">
        <f>'[2]iWAT - GC Results (nmol g)'!R50/1000</f>
        <v>113.7725651622135</v>
      </c>
      <c r="S50" s="8">
        <f>'[2]iWAT - GC Results (nmol g)'!S50/1000</f>
        <v>66.239769827345995</v>
      </c>
      <c r="T50" s="8">
        <f>'[2]iWAT - GC Results (nmol g)'!T50/1000</f>
        <v>77.647283421417654</v>
      </c>
      <c r="U50" s="8"/>
      <c r="V50" s="8">
        <f>'[2]iWAT - GC Results (nmol g)'!V50/1000</f>
        <v>79.230059078832539</v>
      </c>
      <c r="W50" s="8">
        <f>'[2]iWAT - GC Results (nmol g)'!W50/1000</f>
        <v>98.891188204354492</v>
      </c>
      <c r="X50" s="8"/>
      <c r="Y50" s="8">
        <f>'[2]iWAT - GC Results (nmol g)'!Y50/1000</f>
        <v>95.586232359257309</v>
      </c>
      <c r="Z50" s="8">
        <f>'[2]iWAT - GC Results (nmol g)'!Z50/1000</f>
        <v>81.757773229525881</v>
      </c>
      <c r="AA50" s="8">
        <f>'[2]iWAT - GC Results (nmol g)'!AA50/1000</f>
        <v>88.152778791833896</v>
      </c>
      <c r="AB50" s="8">
        <f>'[2]iWAT - GC Results (nmol g)'!AB50/1000</f>
        <v>80.597561908360916</v>
      </c>
      <c r="AC50" s="8">
        <f>'[2]iWAT - GC Results (nmol g)'!AC50/1000</f>
        <v>72.829107859844328</v>
      </c>
      <c r="AD50" s="8">
        <f>'[2]iWAT - GC Results (nmol g)'!AD50/1000</f>
        <v>87.732416240078337</v>
      </c>
      <c r="AE50" s="8">
        <f>'[2]iWAT - GC Results (nmol g)'!AE50/1000</f>
        <v>82.371309511444764</v>
      </c>
      <c r="AF50" s="8">
        <f>'[2]iWAT - GC Results (nmol g)'!AF50/1000</f>
        <v>57.468171114511996</v>
      </c>
      <c r="AG50" s="8">
        <f>'[2]iWAT - GC Results (nmol g)'!AG50/1000</f>
        <v>74.926514285245702</v>
      </c>
      <c r="AH50" s="8">
        <f>'[2]iWAT - GC Results (nmol g)'!AH50/1000</f>
        <v>63.324720519355971</v>
      </c>
      <c r="AI50" s="9"/>
      <c r="AJ50" s="9"/>
    </row>
    <row r="51" spans="1:36" x14ac:dyDescent="0.2">
      <c r="A51" t="s">
        <v>50</v>
      </c>
      <c r="C51" s="8">
        <f>'[2]iWAT - GC Results (nmol g)'!C51/1000</f>
        <v>0</v>
      </c>
      <c r="D51" s="8">
        <f>'[2]iWAT - GC Results (nmol g)'!D51/1000</f>
        <v>0</v>
      </c>
      <c r="E51" s="8">
        <f>'[2]iWAT - GC Results (nmol g)'!E51/1000</f>
        <v>0</v>
      </c>
      <c r="F51" s="8">
        <f>'[2]iWAT - GC Results (nmol g)'!F51/1000</f>
        <v>0</v>
      </c>
      <c r="G51" s="8">
        <f>'[2]iWAT - GC Results (nmol g)'!G51/1000</f>
        <v>0</v>
      </c>
      <c r="H51" s="8">
        <f>'[2]iWAT - GC Results (nmol g)'!H51/1000</f>
        <v>0</v>
      </c>
      <c r="I51" s="8">
        <f>'[2]iWAT - GC Results (nmol g)'!I51/1000</f>
        <v>0</v>
      </c>
      <c r="J51" s="8">
        <f>'[2]iWAT - GC Results (nmol g)'!J51/1000</f>
        <v>0</v>
      </c>
      <c r="K51" s="8">
        <f>'[2]iWAT - GC Results (nmol g)'!K51/1000</f>
        <v>0</v>
      </c>
      <c r="L51" s="8">
        <f>'[2]iWAT - GC Results (nmol g)'!L51/1000</f>
        <v>0</v>
      </c>
      <c r="M51" s="8"/>
      <c r="N51" s="8">
        <f>'[2]iWAT - GC Results (nmol g)'!N51/1000</f>
        <v>0</v>
      </c>
      <c r="O51" s="8">
        <f>'[2]iWAT - GC Results (nmol g)'!O51/1000</f>
        <v>0</v>
      </c>
      <c r="P51" s="8">
        <f>'[2]iWAT - GC Results (nmol g)'!P51/1000</f>
        <v>0</v>
      </c>
      <c r="Q51" s="8">
        <f>'[2]iWAT - GC Results (nmol g)'!Q51/1000</f>
        <v>0</v>
      </c>
      <c r="R51" s="8">
        <f>'[2]iWAT - GC Results (nmol g)'!R51/1000</f>
        <v>0</v>
      </c>
      <c r="S51" s="8">
        <f>'[2]iWAT - GC Results (nmol g)'!S51/1000</f>
        <v>0</v>
      </c>
      <c r="T51" s="8">
        <f>'[2]iWAT - GC Results (nmol g)'!T51/1000</f>
        <v>0</v>
      </c>
      <c r="U51" s="8"/>
      <c r="V51" s="8">
        <f>'[2]iWAT - GC Results (nmol g)'!V51/1000</f>
        <v>0</v>
      </c>
      <c r="W51" s="8">
        <f>'[2]iWAT - GC Results (nmol g)'!W51/1000</f>
        <v>0</v>
      </c>
      <c r="X51" s="8"/>
      <c r="Y51" s="8">
        <f>'[2]iWAT - GC Results (nmol g)'!Y51/1000</f>
        <v>0</v>
      </c>
      <c r="Z51" s="8">
        <f>'[2]iWAT - GC Results (nmol g)'!Z51/1000</f>
        <v>0</v>
      </c>
      <c r="AA51" s="8">
        <f>'[2]iWAT - GC Results (nmol g)'!AA51/1000</f>
        <v>0</v>
      </c>
      <c r="AB51" s="8">
        <f>'[2]iWAT - GC Results (nmol g)'!AB51/1000</f>
        <v>0</v>
      </c>
      <c r="AC51" s="8">
        <f>'[2]iWAT - GC Results (nmol g)'!AC51/1000</f>
        <v>0</v>
      </c>
      <c r="AD51" s="8">
        <f>'[2]iWAT - GC Results (nmol g)'!AD51/1000</f>
        <v>0</v>
      </c>
      <c r="AE51" s="8">
        <f>'[2]iWAT - GC Results (nmol g)'!AE51/1000</f>
        <v>0</v>
      </c>
      <c r="AF51" s="8">
        <f>'[2]iWAT - GC Results (nmol g)'!AF51/1000</f>
        <v>0</v>
      </c>
      <c r="AG51" s="8">
        <f>'[2]iWAT - GC Results (nmol g)'!AG51/1000</f>
        <v>0</v>
      </c>
      <c r="AH51" s="8">
        <f>'[2]iWAT - GC Results (nmol g)'!AH51/1000</f>
        <v>0</v>
      </c>
      <c r="AI51" s="9"/>
      <c r="AJ51" s="9"/>
    </row>
    <row r="52" spans="1:36" x14ac:dyDescent="0.2">
      <c r="A52" t="s">
        <v>37</v>
      </c>
      <c r="C52" s="8">
        <f>'[2]iWAT - GC Results (nmol g)'!C52/1000</f>
        <v>58.257033707595816</v>
      </c>
      <c r="D52" s="8">
        <f>'[2]iWAT - GC Results (nmol g)'!D52/1000</f>
        <v>75.892746237784962</v>
      </c>
      <c r="E52" s="8">
        <f>'[2]iWAT - GC Results (nmol g)'!E52/1000</f>
        <v>72.737284332268175</v>
      </c>
      <c r="F52" s="8">
        <f>'[2]iWAT - GC Results (nmol g)'!F52/1000</f>
        <v>98.995893175611286</v>
      </c>
      <c r="G52" s="8">
        <f>'[2]iWAT - GC Results (nmol g)'!G52/1000</f>
        <v>91.946927630507531</v>
      </c>
      <c r="H52" s="8">
        <f>'[2]iWAT - GC Results (nmol g)'!H52/1000</f>
        <v>72.763072119920864</v>
      </c>
      <c r="I52" s="8">
        <f>'[2]iWAT - GC Results (nmol g)'!I52/1000</f>
        <v>76.532790282482651</v>
      </c>
      <c r="J52" s="8">
        <f>'[2]iWAT - GC Results (nmol g)'!J52/1000</f>
        <v>77.223972643824638</v>
      </c>
      <c r="K52" s="8">
        <f>'[2]iWAT - GC Results (nmol g)'!K52/1000</f>
        <v>65.444915826186374</v>
      </c>
      <c r="L52" s="8">
        <f>'[2]iWAT - GC Results (nmol g)'!L52/1000</f>
        <v>71.181378317939604</v>
      </c>
      <c r="M52" s="8"/>
      <c r="N52" s="8">
        <f>'[2]iWAT - GC Results (nmol g)'!N52/1000</f>
        <v>68.620403237834964</v>
      </c>
      <c r="O52" s="8">
        <f>'[2]iWAT - GC Results (nmol g)'!O52/1000</f>
        <v>63.60082270300196</v>
      </c>
      <c r="P52" s="8">
        <f>'[2]iWAT - GC Results (nmol g)'!P52/1000</f>
        <v>67.271350372155752</v>
      </c>
      <c r="Q52" s="8">
        <f>'[2]iWAT - GC Results (nmol g)'!Q52/1000</f>
        <v>67.720816066355709</v>
      </c>
      <c r="R52" s="8">
        <f>'[2]iWAT - GC Results (nmol g)'!R52/1000</f>
        <v>87.682946625924686</v>
      </c>
      <c r="S52" s="8">
        <f>'[2]iWAT - GC Results (nmol g)'!S52/1000</f>
        <v>71.642643473878579</v>
      </c>
      <c r="T52" s="8">
        <f>'[2]iWAT - GC Results (nmol g)'!T52/1000</f>
        <v>68.026645671621097</v>
      </c>
      <c r="U52" s="8"/>
      <c r="V52" s="8">
        <f>'[2]iWAT - GC Results (nmol g)'!V52/1000</f>
        <v>64.061994385171786</v>
      </c>
      <c r="W52" s="8">
        <f>'[2]iWAT - GC Results (nmol g)'!W52/1000</f>
        <v>73.237434474089326</v>
      </c>
      <c r="X52" s="8"/>
      <c r="Y52" s="8">
        <f>'[2]iWAT - GC Results (nmol g)'!Y52/1000</f>
        <v>65.861637215698877</v>
      </c>
      <c r="Z52" s="8">
        <f>'[2]iWAT - GC Results (nmol g)'!Z52/1000</f>
        <v>70.855072986010953</v>
      </c>
      <c r="AA52" s="8">
        <f>'[2]iWAT - GC Results (nmol g)'!AA52/1000</f>
        <v>59.772018846339307</v>
      </c>
      <c r="AB52" s="8">
        <f>'[2]iWAT - GC Results (nmol g)'!AB52/1000</f>
        <v>78.683986086738159</v>
      </c>
      <c r="AC52" s="8">
        <f>'[2]iWAT - GC Results (nmol g)'!AC52/1000</f>
        <v>71.632437654012193</v>
      </c>
      <c r="AD52" s="8">
        <f>'[2]iWAT - GC Results (nmol g)'!AD52/1000</f>
        <v>64.159974386141542</v>
      </c>
      <c r="AE52" s="8">
        <f>'[2]iWAT - GC Results (nmol g)'!AE52/1000</f>
        <v>60.125243674209003</v>
      </c>
      <c r="AF52" s="8">
        <f>'[2]iWAT - GC Results (nmol g)'!AF52/1000</f>
        <v>62.084764842450127</v>
      </c>
      <c r="AG52" s="8">
        <f>'[2]iWAT - GC Results (nmol g)'!AG52/1000</f>
        <v>56.632890160381983</v>
      </c>
      <c r="AH52" s="8">
        <f>'[2]iWAT - GC Results (nmol g)'!AH52/1000</f>
        <v>59.796315693701843</v>
      </c>
      <c r="AI52" s="9"/>
      <c r="AJ52" s="9"/>
    </row>
    <row r="53" spans="1:36" x14ac:dyDescent="0.2">
      <c r="A53" t="s">
        <v>38</v>
      </c>
      <c r="C53" s="8">
        <f>'[2]iWAT - GC Results (nmol g)'!C53/1000</f>
        <v>550.45146793123934</v>
      </c>
      <c r="D53" s="8">
        <f>'[2]iWAT - GC Results (nmol g)'!D53/1000</f>
        <v>734.25335949200849</v>
      </c>
      <c r="E53" s="8">
        <f>'[2]iWAT - GC Results (nmol g)'!E53/1000</f>
        <v>813.40912576769006</v>
      </c>
      <c r="F53" s="8">
        <f>'[2]iWAT - GC Results (nmol g)'!F53/1000</f>
        <v>746.98097624986451</v>
      </c>
      <c r="G53" s="8">
        <f>'[2]iWAT - GC Results (nmol g)'!G53/1000</f>
        <v>787.98444604913016</v>
      </c>
      <c r="H53" s="8">
        <f>'[2]iWAT - GC Results (nmol g)'!H53/1000</f>
        <v>626.50804158434494</v>
      </c>
      <c r="I53" s="8">
        <f>'[2]iWAT - GC Results (nmol g)'!I53/1000</f>
        <v>680.9912354577308</v>
      </c>
      <c r="J53" s="8">
        <f>'[2]iWAT - GC Results (nmol g)'!J53/1000</f>
        <v>529.02438350547334</v>
      </c>
      <c r="K53" s="8">
        <f>'[2]iWAT - GC Results (nmol g)'!K53/1000</f>
        <v>731.92123488938171</v>
      </c>
      <c r="L53" s="8">
        <f>'[2]iWAT - GC Results (nmol g)'!L53/1000</f>
        <v>682.18807740615853</v>
      </c>
      <c r="M53" s="8"/>
      <c r="N53" s="8">
        <f>'[2]iWAT - GC Results (nmol g)'!N53/1000</f>
        <v>635.19324063408681</v>
      </c>
      <c r="O53" s="8">
        <f>'[2]iWAT - GC Results (nmol g)'!O53/1000</f>
        <v>669.36641455681786</v>
      </c>
      <c r="P53" s="8">
        <f>'[2]iWAT - GC Results (nmol g)'!P53/1000</f>
        <v>613.89262448625846</v>
      </c>
      <c r="Q53" s="8">
        <f>'[2]iWAT - GC Results (nmol g)'!Q53/1000</f>
        <v>623.33375546333059</v>
      </c>
      <c r="R53" s="8">
        <f>'[2]iWAT - GC Results (nmol g)'!R53/1000</f>
        <v>883.43783195760113</v>
      </c>
      <c r="S53" s="8">
        <f>'[2]iWAT - GC Results (nmol g)'!S53/1000</f>
        <v>669.67917060658874</v>
      </c>
      <c r="T53" s="8">
        <f>'[2]iWAT - GC Results (nmol g)'!T53/1000</f>
        <v>603.84256449762938</v>
      </c>
      <c r="U53" s="8"/>
      <c r="V53" s="8">
        <f>'[2]iWAT - GC Results (nmol g)'!V53/1000</f>
        <v>603.61670003735208</v>
      </c>
      <c r="W53" s="8">
        <f>'[2]iWAT - GC Results (nmol g)'!W53/1000</f>
        <v>808.35221903505737</v>
      </c>
      <c r="X53" s="8"/>
      <c r="Y53" s="8">
        <f>'[2]iWAT - GC Results (nmol g)'!Y53/1000</f>
        <v>692.07594985795242</v>
      </c>
      <c r="Z53" s="8">
        <f>'[2]iWAT - GC Results (nmol g)'!Z53/1000</f>
        <v>727.65066211683506</v>
      </c>
      <c r="AA53" s="8">
        <f>'[2]iWAT - GC Results (nmol g)'!AA53/1000</f>
        <v>623.41320313622373</v>
      </c>
      <c r="AB53" s="8">
        <f>'[2]iWAT - GC Results (nmol g)'!AB53/1000</f>
        <v>691.51877208069664</v>
      </c>
      <c r="AC53" s="8">
        <f>'[2]iWAT - GC Results (nmol g)'!AC53/1000</f>
        <v>672.97321996046719</v>
      </c>
      <c r="AD53" s="8">
        <f>'[2]iWAT - GC Results (nmol g)'!AD53/1000</f>
        <v>694.38659836136787</v>
      </c>
      <c r="AE53" s="8">
        <f>'[2]iWAT - GC Results (nmol g)'!AE53/1000</f>
        <v>730.92570190511606</v>
      </c>
      <c r="AF53" s="8">
        <f>'[2]iWAT - GC Results (nmol g)'!AF53/1000</f>
        <v>564.75466147079771</v>
      </c>
      <c r="AG53" s="8">
        <f>'[2]iWAT - GC Results (nmol g)'!AG53/1000</f>
        <v>624.72790397795484</v>
      </c>
      <c r="AH53" s="8">
        <f>'[2]iWAT - GC Results (nmol g)'!AH53/1000</f>
        <v>552.68694405773704</v>
      </c>
      <c r="AI53" s="9"/>
      <c r="AJ53" s="9"/>
    </row>
    <row r="54" spans="1:36" x14ac:dyDescent="0.2">
      <c r="A54" t="s">
        <v>39</v>
      </c>
      <c r="C54" s="8">
        <f>'[2]iWAT - GC Results (nmol g)'!C54/1000</f>
        <v>219.08966288732762</v>
      </c>
      <c r="D54" s="8">
        <f>'[2]iWAT - GC Results (nmol g)'!D54/1000</f>
        <v>301.9386419174279</v>
      </c>
      <c r="E54" s="8">
        <f>'[2]iWAT - GC Results (nmol g)'!E54/1000</f>
        <v>319.54928173651382</v>
      </c>
      <c r="F54" s="8">
        <f>'[2]iWAT - GC Results (nmol g)'!F54/1000</f>
        <v>302.95482983716028</v>
      </c>
      <c r="G54" s="8">
        <f>'[2]iWAT - GC Results (nmol g)'!G54/1000</f>
        <v>320.52192227116257</v>
      </c>
      <c r="H54" s="8">
        <f>'[2]iWAT - GC Results (nmol g)'!H54/1000</f>
        <v>272.55674109853237</v>
      </c>
      <c r="I54" s="8">
        <f>'[2]iWAT - GC Results (nmol g)'!I54/1000</f>
        <v>272.88723128208824</v>
      </c>
      <c r="J54" s="8">
        <f>'[2]iWAT - GC Results (nmol g)'!J54/1000</f>
        <v>212.80857543682333</v>
      </c>
      <c r="K54" s="8">
        <f>'[2]iWAT - GC Results (nmol g)'!K54/1000</f>
        <v>270.16680659175785</v>
      </c>
      <c r="L54" s="8">
        <f>'[2]iWAT - GC Results (nmol g)'!L54/1000</f>
        <v>275.57990056988928</v>
      </c>
      <c r="M54" s="8"/>
      <c r="N54" s="8">
        <f>'[2]iWAT - GC Results (nmol g)'!N54/1000</f>
        <v>264.12736492401979</v>
      </c>
      <c r="O54" s="8">
        <f>'[2]iWAT - GC Results (nmol g)'!O54/1000</f>
        <v>257.67949328789854</v>
      </c>
      <c r="P54" s="8">
        <f>'[2]iWAT - GC Results (nmol g)'!P54/1000</f>
        <v>249.27067737718329</v>
      </c>
      <c r="Q54" s="8">
        <f>'[2]iWAT - GC Results (nmol g)'!Q54/1000</f>
        <v>249.47750905527482</v>
      </c>
      <c r="R54" s="8">
        <f>'[2]iWAT - GC Results (nmol g)'!R54/1000</f>
        <v>366.3926353083076</v>
      </c>
      <c r="S54" s="8">
        <f>'[2]iWAT - GC Results (nmol g)'!S54/1000</f>
        <v>258.9790480970409</v>
      </c>
      <c r="T54" s="8">
        <f>'[2]iWAT - GC Results (nmol g)'!T54/1000</f>
        <v>254.3427833252664</v>
      </c>
      <c r="U54" s="8"/>
      <c r="V54" s="8">
        <f>'[2]iWAT - GC Results (nmol g)'!V54/1000</f>
        <v>252.57979208953523</v>
      </c>
      <c r="W54" s="8">
        <f>'[2]iWAT - GC Results (nmol g)'!W54/1000</f>
        <v>302.52259960095881</v>
      </c>
      <c r="X54" s="8"/>
      <c r="Y54" s="8">
        <f>'[2]iWAT - GC Results (nmol g)'!Y54/1000</f>
        <v>278.66988275874826</v>
      </c>
      <c r="Z54" s="8">
        <f>'[2]iWAT - GC Results (nmol g)'!Z54/1000</f>
        <v>291.92619678583355</v>
      </c>
      <c r="AA54" s="8">
        <f>'[2]iWAT - GC Results (nmol g)'!AA54/1000</f>
        <v>251.6458402710324</v>
      </c>
      <c r="AB54" s="8">
        <f>'[2]iWAT - GC Results (nmol g)'!AB54/1000</f>
        <v>290.65145143265772</v>
      </c>
      <c r="AC54" s="8">
        <f>'[2]iWAT - GC Results (nmol g)'!AC54/1000</f>
        <v>276.6522234957522</v>
      </c>
      <c r="AD54" s="8">
        <f>'[2]iWAT - GC Results (nmol g)'!AD54/1000</f>
        <v>281.5125624490334</v>
      </c>
      <c r="AE54" s="8">
        <f>'[2]iWAT - GC Results (nmol g)'!AE54/1000</f>
        <v>279.7380105305478</v>
      </c>
      <c r="AF54" s="8">
        <f>'[2]iWAT - GC Results (nmol g)'!AF54/1000</f>
        <v>225.78779729987443</v>
      </c>
      <c r="AG54" s="8">
        <f>'[2]iWAT - GC Results (nmol g)'!AG54/1000</f>
        <v>232.96872908281435</v>
      </c>
      <c r="AH54" s="8">
        <f>'[2]iWAT - GC Results (nmol g)'!AH54/1000</f>
        <v>237.22974692024377</v>
      </c>
      <c r="AI54" s="9"/>
      <c r="AJ54" s="9"/>
    </row>
    <row r="55" spans="1:36" x14ac:dyDescent="0.2">
      <c r="A55" t="s">
        <v>40</v>
      </c>
      <c r="C55" s="8">
        <f>'[2]iWAT - GC Results (nmol g)'!C55/1000</f>
        <v>0.81075321612969287</v>
      </c>
      <c r="D55" s="8">
        <f>'[2]iWAT - GC Results (nmol g)'!D55/1000</f>
        <v>0.80692142899930497</v>
      </c>
      <c r="E55" s="8">
        <f>'[2]iWAT - GC Results (nmol g)'!E55/1000</f>
        <v>0.89298372209699828</v>
      </c>
      <c r="F55" s="8">
        <f>'[2]iWAT - GC Results (nmol g)'!F55/1000</f>
        <v>0.88919352648294703</v>
      </c>
      <c r="G55" s="8">
        <f>'[2]iWAT - GC Results (nmol g)'!G55/1000</f>
        <v>1.0751006924051776</v>
      </c>
      <c r="H55" s="8">
        <f>'[2]iWAT - GC Results (nmol g)'!H55/1000</f>
        <v>0.70755824688600499</v>
      </c>
      <c r="I55" s="8">
        <f>'[2]iWAT - GC Results (nmol g)'!I55/1000</f>
        <v>0.95237565165101357</v>
      </c>
      <c r="J55" s="8">
        <f>'[2]iWAT - GC Results (nmol g)'!J55/1000</f>
        <v>0.77930662144501994</v>
      </c>
      <c r="K55" s="8">
        <f>'[2]iWAT - GC Results (nmol g)'!K55/1000</f>
        <v>0.87033732906406736</v>
      </c>
      <c r="L55" s="8">
        <f>'[2]iWAT - GC Results (nmol g)'!L55/1000</f>
        <v>0.69897265483833548</v>
      </c>
      <c r="M55" s="8"/>
      <c r="N55" s="8">
        <f>'[2]iWAT - GC Results (nmol g)'!N55/1000</f>
        <v>0.76078475172384019</v>
      </c>
      <c r="O55" s="8">
        <f>'[2]iWAT - GC Results (nmol g)'!O55/1000</f>
        <v>0.84066618952936145</v>
      </c>
      <c r="P55" s="8">
        <f>'[2]iWAT - GC Results (nmol g)'!P55/1000</f>
        <v>0.90591420766970809</v>
      </c>
      <c r="Q55" s="8">
        <f>'[2]iWAT - GC Results (nmol g)'!Q55/1000</f>
        <v>0.70345419905694684</v>
      </c>
      <c r="R55" s="8">
        <f>'[2]iWAT - GC Results (nmol g)'!R55/1000</f>
        <v>1.0927754528368769</v>
      </c>
      <c r="S55" s="8">
        <f>'[2]iWAT - GC Results (nmol g)'!S55/1000</f>
        <v>0.81660194714178036</v>
      </c>
      <c r="T55" s="8">
        <f>'[2]iWAT - GC Results (nmol g)'!T55/1000</f>
        <v>0.79651323068841995</v>
      </c>
      <c r="U55" s="8"/>
      <c r="V55" s="8">
        <f>'[2]iWAT - GC Results (nmol g)'!V55/1000</f>
        <v>0.82214595884677844</v>
      </c>
      <c r="W55" s="8">
        <f>'[2]iWAT - GC Results (nmol g)'!W55/1000</f>
        <v>0.97428255123151075</v>
      </c>
      <c r="X55" s="8"/>
      <c r="Y55" s="8">
        <f>'[2]iWAT - GC Results (nmol g)'!Y55/1000</f>
        <v>0.79697888321658761</v>
      </c>
      <c r="Z55" s="8">
        <f>'[2]iWAT - GC Results (nmol g)'!Z55/1000</f>
        <v>0.90608480676867764</v>
      </c>
      <c r="AA55" s="8">
        <f>'[2]iWAT - GC Results (nmol g)'!AA55/1000</f>
        <v>0.7123986127324996</v>
      </c>
      <c r="AB55" s="8">
        <f>'[2]iWAT - GC Results (nmol g)'!AB55/1000</f>
        <v>0.77000261064911202</v>
      </c>
      <c r="AC55" s="8">
        <f>'[2]iWAT - GC Results (nmol g)'!AC55/1000</f>
        <v>0.82044973614594419</v>
      </c>
      <c r="AD55" s="8">
        <f>'[2]iWAT - GC Results (nmol g)'!AD55/1000</f>
        <v>0.92568017496858457</v>
      </c>
      <c r="AE55" s="8">
        <f>'[2]iWAT - GC Results (nmol g)'!AE55/1000</f>
        <v>0.85940706302530168</v>
      </c>
      <c r="AF55" s="8">
        <f>'[2]iWAT - GC Results (nmol g)'!AF55/1000</f>
        <v>0.77619246849250867</v>
      </c>
      <c r="AG55" s="8">
        <f>'[2]iWAT - GC Results (nmol g)'!AG55/1000</f>
        <v>0.64568420813690286</v>
      </c>
      <c r="AH55" s="8">
        <f>'[2]iWAT - GC Results (nmol g)'!AH55/1000</f>
        <v>0.59714107649963677</v>
      </c>
      <c r="AI55" s="9"/>
      <c r="AJ55" s="9"/>
    </row>
    <row r="56" spans="1:36" x14ac:dyDescent="0.2">
      <c r="A56" t="s">
        <v>41</v>
      </c>
      <c r="C56" s="8">
        <f>'[2]iWAT - GC Results (nmol g)'!C56/1000</f>
        <v>18.303957849674806</v>
      </c>
      <c r="D56" s="8">
        <f>'[2]iWAT - GC Results (nmol g)'!D56/1000</f>
        <v>23.751370606998716</v>
      </c>
      <c r="E56" s="8">
        <f>'[2]iWAT - GC Results (nmol g)'!E56/1000</f>
        <v>24.206201418680031</v>
      </c>
      <c r="F56" s="8">
        <f>'[2]iWAT - GC Results (nmol g)'!F56/1000</f>
        <v>25.442089306461725</v>
      </c>
      <c r="G56" s="8">
        <f>'[2]iWAT - GC Results (nmol g)'!G56/1000</f>
        <v>27.501996484876006</v>
      </c>
      <c r="H56" s="8">
        <f>'[2]iWAT - GC Results (nmol g)'!H56/1000</f>
        <v>24.145395943342322</v>
      </c>
      <c r="I56" s="8">
        <f>'[2]iWAT - GC Results (nmol g)'!I56/1000</f>
        <v>21.87275116796393</v>
      </c>
      <c r="J56" s="8">
        <f>'[2]iWAT - GC Results (nmol g)'!J56/1000</f>
        <v>19.386974961069416</v>
      </c>
      <c r="K56" s="8">
        <f>'[2]iWAT - GC Results (nmol g)'!K56/1000</f>
        <v>21.273570398837371</v>
      </c>
      <c r="L56" s="8">
        <f>'[2]iWAT - GC Results (nmol g)'!L56/1000</f>
        <v>23.078817858439248</v>
      </c>
      <c r="M56" s="8"/>
      <c r="N56" s="8">
        <f>'[2]iWAT - GC Results (nmol g)'!N56/1000</f>
        <v>23.149566335513068</v>
      </c>
      <c r="O56" s="8">
        <f>'[2]iWAT - GC Results (nmol g)'!O56/1000</f>
        <v>23.5891991854892</v>
      </c>
      <c r="P56" s="8">
        <f>'[2]iWAT - GC Results (nmol g)'!P56/1000</f>
        <v>24.063285045394817</v>
      </c>
      <c r="Q56" s="8">
        <f>'[2]iWAT - GC Results (nmol g)'!Q56/1000</f>
        <v>20.399186615486627</v>
      </c>
      <c r="R56" s="8">
        <f>'[2]iWAT - GC Results (nmol g)'!R56/1000</f>
        <v>32.21146239242308</v>
      </c>
      <c r="S56" s="8">
        <f>'[2]iWAT - GC Results (nmol g)'!S56/1000</f>
        <v>22.345106394631589</v>
      </c>
      <c r="T56" s="8">
        <f>'[2]iWAT - GC Results (nmol g)'!T56/1000</f>
        <v>23.935716366380028</v>
      </c>
      <c r="U56" s="8"/>
      <c r="V56" s="8">
        <f>'[2]iWAT - GC Results (nmol g)'!V56/1000</f>
        <v>22.929557077946725</v>
      </c>
      <c r="W56" s="8">
        <f>'[2]iWAT - GC Results (nmol g)'!W56/1000</f>
        <v>24.549122901612616</v>
      </c>
      <c r="X56" s="8"/>
      <c r="Y56" s="8">
        <f>'[2]iWAT - GC Results (nmol g)'!Y56/1000</f>
        <v>25.851793010683128</v>
      </c>
      <c r="Z56" s="8">
        <f>'[2]iWAT - GC Results (nmol g)'!Z56/1000</f>
        <v>23.999398661518171</v>
      </c>
      <c r="AA56" s="8">
        <f>'[2]iWAT - GC Results (nmol g)'!AA56/1000</f>
        <v>21.958794538061287</v>
      </c>
      <c r="AB56" s="8">
        <f>'[2]iWAT - GC Results (nmol g)'!AB56/1000</f>
        <v>25.700913510696438</v>
      </c>
      <c r="AC56" s="8">
        <f>'[2]iWAT - GC Results (nmol g)'!AC56/1000</f>
        <v>22.977273751063915</v>
      </c>
      <c r="AD56" s="8">
        <f>'[2]iWAT - GC Results (nmol g)'!AD56/1000</f>
        <v>22.794475311316589</v>
      </c>
      <c r="AE56" s="8">
        <f>'[2]iWAT - GC Results (nmol g)'!AE56/1000</f>
        <v>23.546891036954957</v>
      </c>
      <c r="AF56" s="8">
        <f>'[2]iWAT - GC Results (nmol g)'!AF56/1000</f>
        <v>19.254676454929026</v>
      </c>
      <c r="AG56" s="8">
        <f>'[2]iWAT - GC Results (nmol g)'!AG56/1000</f>
        <v>20.013900673926351</v>
      </c>
      <c r="AH56" s="8">
        <f>'[2]iWAT - GC Results (nmol g)'!AH56/1000</f>
        <v>22.4952606191125</v>
      </c>
      <c r="AI56" s="9"/>
      <c r="AJ56" s="9"/>
    </row>
    <row r="57" spans="1:36" x14ac:dyDescent="0.2">
      <c r="A57" t="s">
        <v>42</v>
      </c>
      <c r="C57" s="8">
        <f>'[2]iWAT - GC Results (nmol g)'!C57/1000</f>
        <v>0.52176296380543763</v>
      </c>
      <c r="D57" s="8">
        <f>'[2]iWAT - GC Results (nmol g)'!D57/1000</f>
        <v>0.54348870672817884</v>
      </c>
      <c r="E57" s="8">
        <f>'[2]iWAT - GC Results (nmol g)'!E57/1000</f>
        <v>0.5507614079960913</v>
      </c>
      <c r="F57" s="8">
        <f>'[2]iWAT - GC Results (nmol g)'!F57/1000</f>
        <v>0.28977018176979957</v>
      </c>
      <c r="G57" s="8">
        <f>'[2]iWAT - GC Results (nmol g)'!G57/1000</f>
        <v>0.50997127566985956</v>
      </c>
      <c r="H57" s="8">
        <f>'[2]iWAT - GC Results (nmol g)'!H57/1000</f>
        <v>0.48251381386635023</v>
      </c>
      <c r="I57" s="8">
        <f>'[2]iWAT - GC Results (nmol g)'!I57/1000</f>
        <v>0.53863876199853711</v>
      </c>
      <c r="J57" s="8">
        <f>'[2]iWAT - GC Results (nmol g)'!J57/1000</f>
        <v>0.50563608194175891</v>
      </c>
      <c r="K57" s="8">
        <f>'[2]iWAT - GC Results (nmol g)'!K57/1000</f>
        <v>0.90759168945092217</v>
      </c>
      <c r="L57" s="8">
        <f>'[2]iWAT - GC Results (nmol g)'!L57/1000</f>
        <v>0.49089886990691178</v>
      </c>
      <c r="M57" s="8"/>
      <c r="N57" s="8">
        <f>'[2]iWAT - GC Results (nmol g)'!N57/1000</f>
        <v>0.50715573423432991</v>
      </c>
      <c r="O57" s="8">
        <f>'[2]iWAT - GC Results (nmol g)'!O57/1000</f>
        <v>0.32057640216428396</v>
      </c>
      <c r="P57" s="8">
        <f>'[2]iWAT - GC Results (nmol g)'!P57/1000</f>
        <v>0.46796423828541245</v>
      </c>
      <c r="Q57" s="8">
        <f>'[2]iWAT - GC Results (nmol g)'!Q57/1000</f>
        <v>0.39705568498568594</v>
      </c>
      <c r="R57" s="8">
        <f>'[2]iWAT - GC Results (nmol g)'!R57/1000</f>
        <v>0.7298550276964012</v>
      </c>
      <c r="S57" s="8">
        <f>'[2]iWAT - GC Results (nmol g)'!S57/1000</f>
        <v>0.35242393401654254</v>
      </c>
      <c r="T57" s="8">
        <f>'[2]iWAT - GC Results (nmol g)'!T57/1000</f>
        <v>0.39530543976805393</v>
      </c>
      <c r="U57" s="8"/>
      <c r="V57" s="8">
        <f>'[2]iWAT - GC Results (nmol g)'!V57/1000</f>
        <v>0.38572093169912308</v>
      </c>
      <c r="W57" s="8">
        <f>'[2]iWAT - GC Results (nmol g)'!W57/1000</f>
        <v>0.63195908749323637</v>
      </c>
      <c r="X57" s="8"/>
      <c r="Y57" s="8">
        <f>'[2]iWAT - GC Results (nmol g)'!Y57/1000</f>
        <v>0.58025343128565787</v>
      </c>
      <c r="Z57" s="8">
        <f>'[2]iWAT - GC Results (nmol g)'!Z57/1000</f>
        <v>0.65746167209552853</v>
      </c>
      <c r="AA57" s="8">
        <f>'[2]iWAT - GC Results (nmol g)'!AA57/1000</f>
        <v>0.40331850081099591</v>
      </c>
      <c r="AB57" s="8">
        <f>'[2]iWAT - GC Results (nmol g)'!AB57/1000</f>
        <v>0.40769139876766003</v>
      </c>
      <c r="AC57" s="8">
        <f>'[2]iWAT - GC Results (nmol g)'!AC57/1000</f>
        <v>0.33248698613970906</v>
      </c>
      <c r="AD57" s="8">
        <f>'[2]iWAT - GC Results (nmol g)'!AD57/1000</f>
        <v>0.53799641074004456</v>
      </c>
      <c r="AE57" s="8">
        <f>'[2]iWAT - GC Results (nmol g)'!AE57/1000</f>
        <v>0.61810975406063751</v>
      </c>
      <c r="AF57" s="8">
        <f>'[2]iWAT - GC Results (nmol g)'!AF57/1000</f>
        <v>0.28468189391297677</v>
      </c>
      <c r="AG57" s="8">
        <f>'[2]iWAT - GC Results (nmol g)'!AG57/1000</f>
        <v>0.3195956829654007</v>
      </c>
      <c r="AH57" s="8">
        <f>'[2]iWAT - GC Results (nmol g)'!AH57/1000</f>
        <v>0.35639645136005071</v>
      </c>
      <c r="AI57" s="9"/>
      <c r="AJ57" s="9"/>
    </row>
    <row r="58" spans="1:36" x14ac:dyDescent="0.2">
      <c r="A58" t="s">
        <v>43</v>
      </c>
      <c r="C58" s="8">
        <f>'[2]iWAT - GC Results (nmol g)'!C58/1000</f>
        <v>2.1172566978747338</v>
      </c>
      <c r="D58" s="8">
        <f>'[2]iWAT - GC Results (nmol g)'!D58/1000</f>
        <v>2.6825405553434636</v>
      </c>
      <c r="E58" s="8">
        <f>'[2]iWAT - GC Results (nmol g)'!E58/1000</f>
        <v>1.8786854572652658</v>
      </c>
      <c r="F58" s="8">
        <f>'[2]iWAT - GC Results (nmol g)'!F58/1000</f>
        <v>2.7159886113802396</v>
      </c>
      <c r="G58" s="8">
        <f>'[2]iWAT - GC Results (nmol g)'!G58/1000</f>
        <v>3.4761095533890662</v>
      </c>
      <c r="H58" s="8">
        <f>'[2]iWAT - GC Results (nmol g)'!H58/1000</f>
        <v>3.5134075718417672</v>
      </c>
      <c r="I58" s="8">
        <f>'[2]iWAT - GC Results (nmol g)'!I58/1000</f>
        <v>2.2719408458913404</v>
      </c>
      <c r="J58" s="8">
        <f>'[2]iWAT - GC Results (nmol g)'!J58/1000</f>
        <v>2.6591851676765015</v>
      </c>
      <c r="K58" s="8">
        <f>'[2]iWAT - GC Results (nmol g)'!K58/1000</f>
        <v>2.3708836169592247</v>
      </c>
      <c r="L58" s="8">
        <f>'[2]iWAT - GC Results (nmol g)'!L58/1000</f>
        <v>3.0433951440122264</v>
      </c>
      <c r="M58" s="8"/>
      <c r="N58" s="8">
        <f>'[2]iWAT - GC Results (nmol g)'!N58/1000</f>
        <v>2.9954718069223971</v>
      </c>
      <c r="O58" s="8">
        <f>'[2]iWAT - GC Results (nmol g)'!O58/1000</f>
        <v>2.2692940084658253</v>
      </c>
      <c r="P58" s="8">
        <f>'[2]iWAT - GC Results (nmol g)'!P58/1000</f>
        <v>2.3667780132703573</v>
      </c>
      <c r="Q58" s="8">
        <f>'[2]iWAT - GC Results (nmol g)'!Q58/1000</f>
        <v>1.8707708943580024</v>
      </c>
      <c r="R58" s="8">
        <f>'[2]iWAT - GC Results (nmol g)'!R58/1000</f>
        <v>3.9727865572863181</v>
      </c>
      <c r="S58" s="8">
        <f>'[2]iWAT - GC Results (nmol g)'!S58/1000</f>
        <v>1.7544291585353073</v>
      </c>
      <c r="T58" s="8">
        <f>'[2]iWAT - GC Results (nmol g)'!T58/1000</f>
        <v>2.9933654431556169</v>
      </c>
      <c r="U58" s="8"/>
      <c r="V58" s="8">
        <f>'[2]iWAT - GC Results (nmol g)'!V58/1000</f>
        <v>2.9854051582874019</v>
      </c>
      <c r="W58" s="8">
        <f>'[2]iWAT - GC Results (nmol g)'!W58/1000</f>
        <v>2.5754668867502444</v>
      </c>
      <c r="X58" s="8"/>
      <c r="Y58" s="8">
        <f>'[2]iWAT - GC Results (nmol g)'!Y58/1000</f>
        <v>3.1304725298218221</v>
      </c>
      <c r="Z58" s="8">
        <f>'[2]iWAT - GC Results (nmol g)'!Z58/1000</f>
        <v>2.5898968379225469</v>
      </c>
      <c r="AA58" s="8">
        <f>'[2]iWAT - GC Results (nmol g)'!AA58/1000</f>
        <v>3.3468418251782324</v>
      </c>
      <c r="AB58" s="8">
        <f>'[2]iWAT - GC Results (nmol g)'!AB58/1000</f>
        <v>3.2200786335802221</v>
      </c>
      <c r="AC58" s="8">
        <f>'[2]iWAT - GC Results (nmol g)'!AC58/1000</f>
        <v>2.2582156310352572</v>
      </c>
      <c r="AD58" s="8">
        <f>'[2]iWAT - GC Results (nmol g)'!AD58/1000</f>
        <v>2.5888182498817867</v>
      </c>
      <c r="AE58" s="8">
        <f>'[2]iWAT - GC Results (nmol g)'!AE58/1000</f>
        <v>1.99058610326315</v>
      </c>
      <c r="AF58" s="8">
        <f>'[2]iWAT - GC Results (nmol g)'!AF58/1000</f>
        <v>1.9178989897668663</v>
      </c>
      <c r="AG58" s="8">
        <f>'[2]iWAT - GC Results (nmol g)'!AG58/1000</f>
        <v>2.1066394243700053</v>
      </c>
      <c r="AH58" s="8">
        <f>'[2]iWAT - GC Results (nmol g)'!AH58/1000</f>
        <v>2.9819313954314457</v>
      </c>
      <c r="AI58" s="9"/>
      <c r="AJ58" s="9"/>
    </row>
    <row r="59" spans="1:36" x14ac:dyDescent="0.2">
      <c r="A59" t="s">
        <v>44</v>
      </c>
      <c r="C59" s="8">
        <f>'[2]iWAT - GC Results (nmol g)'!C59/1000</f>
        <v>0</v>
      </c>
      <c r="D59" s="8">
        <f>'[2]iWAT - GC Results (nmol g)'!D59/1000</f>
        <v>0</v>
      </c>
      <c r="E59" s="8">
        <f>'[2]iWAT - GC Results (nmol g)'!E59/1000</f>
        <v>0</v>
      </c>
      <c r="F59" s="8">
        <f>'[2]iWAT - GC Results (nmol g)'!F59/1000</f>
        <v>0</v>
      </c>
      <c r="G59" s="8">
        <f>'[2]iWAT - GC Results (nmol g)'!G59/1000</f>
        <v>0</v>
      </c>
      <c r="H59" s="8">
        <f>'[2]iWAT - GC Results (nmol g)'!H59/1000</f>
        <v>0</v>
      </c>
      <c r="I59" s="8">
        <f>'[2]iWAT - GC Results (nmol g)'!I59/1000</f>
        <v>0</v>
      </c>
      <c r="J59" s="8">
        <f>'[2]iWAT - GC Results (nmol g)'!J59/1000</f>
        <v>0</v>
      </c>
      <c r="K59" s="8">
        <f>'[2]iWAT - GC Results (nmol g)'!K59/1000</f>
        <v>0</v>
      </c>
      <c r="L59" s="8">
        <f>'[2]iWAT - GC Results (nmol g)'!L59/1000</f>
        <v>0</v>
      </c>
      <c r="M59" s="8"/>
      <c r="N59" s="8">
        <f>'[2]iWAT - GC Results (nmol g)'!N59/1000</f>
        <v>0</v>
      </c>
      <c r="O59" s="8">
        <f>'[2]iWAT - GC Results (nmol g)'!O59/1000</f>
        <v>0</v>
      </c>
      <c r="P59" s="8">
        <f>'[2]iWAT - GC Results (nmol g)'!P59/1000</f>
        <v>0</v>
      </c>
      <c r="Q59" s="8">
        <f>'[2]iWAT - GC Results (nmol g)'!Q59/1000</f>
        <v>0</v>
      </c>
      <c r="R59" s="8">
        <f>'[2]iWAT - GC Results (nmol g)'!R59/1000</f>
        <v>0</v>
      </c>
      <c r="S59" s="8">
        <f>'[2]iWAT - GC Results (nmol g)'!S59/1000</f>
        <v>0</v>
      </c>
      <c r="T59" s="8">
        <f>'[2]iWAT - GC Results (nmol g)'!T59/1000</f>
        <v>0</v>
      </c>
      <c r="U59" s="8"/>
      <c r="V59" s="8">
        <f>'[2]iWAT - GC Results (nmol g)'!V59/1000</f>
        <v>0</v>
      </c>
      <c r="W59" s="8">
        <f>'[2]iWAT - GC Results (nmol g)'!W59/1000</f>
        <v>0</v>
      </c>
      <c r="X59" s="8"/>
      <c r="Y59" s="8">
        <f>'[2]iWAT - GC Results (nmol g)'!Y59/1000</f>
        <v>0</v>
      </c>
      <c r="Z59" s="8">
        <f>'[2]iWAT - GC Results (nmol g)'!Z59/1000</f>
        <v>0</v>
      </c>
      <c r="AA59" s="8">
        <f>'[2]iWAT - GC Results (nmol g)'!AA59/1000</f>
        <v>0</v>
      </c>
      <c r="AB59" s="8">
        <f>'[2]iWAT - GC Results (nmol g)'!AB59/1000</f>
        <v>0</v>
      </c>
      <c r="AC59" s="8">
        <f>'[2]iWAT - GC Results (nmol g)'!AC59/1000</f>
        <v>0</v>
      </c>
      <c r="AD59" s="8">
        <f>'[2]iWAT - GC Results (nmol g)'!AD59/1000</f>
        <v>0</v>
      </c>
      <c r="AE59" s="8">
        <f>'[2]iWAT - GC Results (nmol g)'!AE59/1000</f>
        <v>0</v>
      </c>
      <c r="AF59" s="8">
        <f>'[2]iWAT - GC Results (nmol g)'!AF59/1000</f>
        <v>0</v>
      </c>
      <c r="AG59" s="8">
        <f>'[2]iWAT - GC Results (nmol g)'!AG59/1000</f>
        <v>0</v>
      </c>
      <c r="AH59" s="8">
        <f>'[2]iWAT - GC Results (nmol g)'!AH59/1000</f>
        <v>0</v>
      </c>
      <c r="AI59" s="9"/>
      <c r="AJ59" s="9"/>
    </row>
    <row r="60" spans="1:36" x14ac:dyDescent="0.2">
      <c r="A60" t="s">
        <v>45</v>
      </c>
      <c r="C60" s="8">
        <f>'[2]iWAT - GC Results (nmol g)'!C60/1000</f>
        <v>0.36187348831444632</v>
      </c>
      <c r="D60" s="8">
        <f>'[2]iWAT - GC Results (nmol g)'!D60/1000</f>
        <v>0.60523991284905054</v>
      </c>
      <c r="E60" s="8">
        <f>'[2]iWAT - GC Results (nmol g)'!E60/1000</f>
        <v>0.59227933267065835</v>
      </c>
      <c r="F60" s="8">
        <f>'[2]iWAT - GC Results (nmol g)'!F60/1000</f>
        <v>0.30527525641585868</v>
      </c>
      <c r="G60" s="8">
        <f>'[2]iWAT - GC Results (nmol g)'!G60/1000</f>
        <v>0.62160069354025449</v>
      </c>
      <c r="H60" s="8">
        <f>'[2]iWAT - GC Results (nmol g)'!H60/1000</f>
        <v>0.70357338918407231</v>
      </c>
      <c r="I60" s="8">
        <f>'[2]iWAT - GC Results (nmol g)'!I60/1000</f>
        <v>0.48092070989647279</v>
      </c>
      <c r="J60" s="8">
        <f>'[2]iWAT - GC Results (nmol g)'!J60/1000</f>
        <v>0.47805290682398277</v>
      </c>
      <c r="K60" s="8">
        <f>'[2]iWAT - GC Results (nmol g)'!K60/1000</f>
        <v>0.45645235042417542</v>
      </c>
      <c r="L60" s="8">
        <f>'[2]iWAT - GC Results (nmol g)'!L60/1000</f>
        <v>0.72827745007000966</v>
      </c>
      <c r="M60" s="8"/>
      <c r="N60" s="8">
        <f>'[2]iWAT - GC Results (nmol g)'!N60/1000</f>
        <v>0.37522144448608513</v>
      </c>
      <c r="O60" s="8">
        <f>'[2]iWAT - GC Results (nmol g)'!O60/1000</f>
        <v>0.33672904742702892</v>
      </c>
      <c r="P60" s="8">
        <f>'[2]iWAT - GC Results (nmol g)'!P60/1000</f>
        <v>0.30317510439758277</v>
      </c>
      <c r="Q60" s="8">
        <f>'[2]iWAT - GC Results (nmol g)'!Q60/1000</f>
        <v>0.32495794735121686</v>
      </c>
      <c r="R60" s="8">
        <f>'[2]iWAT - GC Results (nmol g)'!R60/1000</f>
        <v>0.57565859581486578</v>
      </c>
      <c r="S60" s="8">
        <f>'[2]iWAT - GC Results (nmol g)'!S60/1000</f>
        <v>0.39324564942487394</v>
      </c>
      <c r="T60" s="8">
        <f>'[2]iWAT - GC Results (nmol g)'!T60/1000</f>
        <v>0.44423238766012707</v>
      </c>
      <c r="U60" s="8"/>
      <c r="V60" s="8">
        <f>'[2]iWAT - GC Results (nmol g)'!V60/1000</f>
        <v>0.52737085128464523</v>
      </c>
      <c r="W60" s="8">
        <f>'[2]iWAT - GC Results (nmol g)'!W60/1000</f>
        <v>0.51708411499739082</v>
      </c>
      <c r="X60" s="8"/>
      <c r="Y60" s="8">
        <f>'[2]iWAT - GC Results (nmol g)'!Y60/1000</f>
        <v>0.5402717114077521</v>
      </c>
      <c r="Z60" s="8">
        <f>'[2]iWAT - GC Results (nmol g)'!Z60/1000</f>
        <v>0.69858926257687437</v>
      </c>
      <c r="AA60" s="8">
        <f>'[2]iWAT - GC Results (nmol g)'!AA60/1000</f>
        <v>0.44400000163714765</v>
      </c>
      <c r="AB60" s="8">
        <f>'[2]iWAT - GC Results (nmol g)'!AB60/1000</f>
        <v>0.57688664703670323</v>
      </c>
      <c r="AC60" s="8">
        <f>'[2]iWAT - GC Results (nmol g)'!AC60/1000</f>
        <v>0.30176321078356771</v>
      </c>
      <c r="AD60" s="8">
        <f>'[2]iWAT - GC Results (nmol g)'!AD60/1000</f>
        <v>0.540720312898888</v>
      </c>
      <c r="AE60" s="8">
        <f>'[2]iWAT - GC Results (nmol g)'!AE60/1000</f>
        <v>0.35184870704146509</v>
      </c>
      <c r="AF60" s="8">
        <f>'[2]iWAT - GC Results (nmol g)'!AF60/1000</f>
        <v>0.3187700320120318</v>
      </c>
      <c r="AG60" s="8">
        <f>'[2]iWAT - GC Results (nmol g)'!AG60/1000</f>
        <v>0.28984140237498063</v>
      </c>
      <c r="AH60" s="8">
        <f>'[2]iWAT - GC Results (nmol g)'!AH60/1000</f>
        <v>0.45226464140269423</v>
      </c>
      <c r="AI60" s="9"/>
      <c r="AJ60" s="9"/>
    </row>
    <row r="61" spans="1:36" x14ac:dyDescent="0.2">
      <c r="A61" t="s">
        <v>46</v>
      </c>
      <c r="C61" s="8">
        <f>'[2]iWAT - GC Results (nmol g)'!C61/1000</f>
        <v>0</v>
      </c>
      <c r="D61" s="8">
        <f>'[2]iWAT - GC Results (nmol g)'!D61/1000</f>
        <v>0</v>
      </c>
      <c r="E61" s="8">
        <f>'[2]iWAT - GC Results (nmol g)'!E61/1000</f>
        <v>0</v>
      </c>
      <c r="F61" s="8">
        <f>'[2]iWAT - GC Results (nmol g)'!F61/1000</f>
        <v>0</v>
      </c>
      <c r="G61" s="8">
        <f>'[2]iWAT - GC Results (nmol g)'!G61/1000</f>
        <v>0</v>
      </c>
      <c r="H61" s="8">
        <f>'[2]iWAT - GC Results (nmol g)'!H61/1000</f>
        <v>0</v>
      </c>
      <c r="I61" s="8">
        <f>'[2]iWAT - GC Results (nmol g)'!I61/1000</f>
        <v>0</v>
      </c>
      <c r="J61" s="8">
        <f>'[2]iWAT - GC Results (nmol g)'!J61/1000</f>
        <v>0</v>
      </c>
      <c r="K61" s="8">
        <f>'[2]iWAT - GC Results (nmol g)'!K61/1000</f>
        <v>0</v>
      </c>
      <c r="L61" s="8">
        <f>'[2]iWAT - GC Results (nmol g)'!L61/1000</f>
        <v>0</v>
      </c>
      <c r="M61" s="8"/>
      <c r="N61" s="8">
        <f>'[2]iWAT - GC Results (nmol g)'!N61/1000</f>
        <v>0</v>
      </c>
      <c r="O61" s="8">
        <f>'[2]iWAT - GC Results (nmol g)'!O61/1000</f>
        <v>0</v>
      </c>
      <c r="P61" s="8">
        <f>'[2]iWAT - GC Results (nmol g)'!P61/1000</f>
        <v>0</v>
      </c>
      <c r="Q61" s="8">
        <f>'[2]iWAT - GC Results (nmol g)'!Q61/1000</f>
        <v>0</v>
      </c>
      <c r="R61" s="8">
        <f>'[2]iWAT - GC Results (nmol g)'!R61/1000</f>
        <v>0</v>
      </c>
      <c r="S61" s="8">
        <f>'[2]iWAT - GC Results (nmol g)'!S61/1000</f>
        <v>0</v>
      </c>
      <c r="T61" s="8">
        <f>'[2]iWAT - GC Results (nmol g)'!T61/1000</f>
        <v>0</v>
      </c>
      <c r="U61" s="8"/>
      <c r="V61" s="8">
        <f>'[2]iWAT - GC Results (nmol g)'!V61/1000</f>
        <v>0</v>
      </c>
      <c r="W61" s="8">
        <f>'[2]iWAT - GC Results (nmol g)'!W61/1000</f>
        <v>0</v>
      </c>
      <c r="X61" s="8"/>
      <c r="Y61" s="8">
        <f>'[2]iWAT - GC Results (nmol g)'!Y61/1000</f>
        <v>0</v>
      </c>
      <c r="Z61" s="8">
        <f>'[2]iWAT - GC Results (nmol g)'!Z61/1000</f>
        <v>0</v>
      </c>
      <c r="AA61" s="8">
        <f>'[2]iWAT - GC Results (nmol g)'!AA61/1000</f>
        <v>0</v>
      </c>
      <c r="AB61" s="8">
        <f>'[2]iWAT - GC Results (nmol g)'!AB61/1000</f>
        <v>0</v>
      </c>
      <c r="AC61" s="8">
        <f>'[2]iWAT - GC Results (nmol g)'!AC61/1000</f>
        <v>0</v>
      </c>
      <c r="AD61" s="8">
        <f>'[2]iWAT - GC Results (nmol g)'!AD61/1000</f>
        <v>0</v>
      </c>
      <c r="AE61" s="8">
        <f>'[2]iWAT - GC Results (nmol g)'!AE61/1000</f>
        <v>0</v>
      </c>
      <c r="AF61" s="8">
        <f>'[2]iWAT - GC Results (nmol g)'!AF61/1000</f>
        <v>0</v>
      </c>
      <c r="AG61" s="8">
        <f>'[2]iWAT - GC Results (nmol g)'!AG61/1000</f>
        <v>0</v>
      </c>
      <c r="AH61" s="8">
        <f>'[2]iWAT - GC Results (nmol g)'!AH61/1000</f>
        <v>0</v>
      </c>
      <c r="AI61" s="9"/>
      <c r="AJ61" s="9"/>
    </row>
    <row r="62" spans="1:36" x14ac:dyDescent="0.2">
      <c r="A62" t="s">
        <v>47</v>
      </c>
      <c r="C62" s="8">
        <f>'[2]iWAT - GC Results (nmol g)'!C62/1000</f>
        <v>1.3508242913470951</v>
      </c>
      <c r="D62" s="8">
        <f>'[2]iWAT - GC Results (nmol g)'!D62/1000</f>
        <v>1.9015773268959508</v>
      </c>
      <c r="E62" s="8">
        <f>'[2]iWAT - GC Results (nmol g)'!E62/1000</f>
        <v>1.5435069560702352</v>
      </c>
      <c r="F62" s="8">
        <f>'[2]iWAT - GC Results (nmol g)'!F62/1000</f>
        <v>1.8050683109070829</v>
      </c>
      <c r="G62" s="8">
        <f>'[2]iWAT - GC Results (nmol g)'!G62/1000</f>
        <v>2.5986837123798043</v>
      </c>
      <c r="H62" s="8">
        <f>'[2]iWAT - GC Results (nmol g)'!H62/1000</f>
        <v>2.0334972865227554</v>
      </c>
      <c r="I62" s="8">
        <f>'[2]iWAT - GC Results (nmol g)'!I62/1000</f>
        <v>1.4302633502762609</v>
      </c>
      <c r="J62" s="8">
        <f>'[2]iWAT - GC Results (nmol g)'!J62/1000</f>
        <v>1.7559811906295717</v>
      </c>
      <c r="K62" s="8">
        <f>'[2]iWAT - GC Results (nmol g)'!K62/1000</f>
        <v>1.6536596287911158</v>
      </c>
      <c r="L62" s="8">
        <f>'[2]iWAT - GC Results (nmol g)'!L62/1000</f>
        <v>2.1855778618323098</v>
      </c>
      <c r="M62" s="8"/>
      <c r="N62" s="8">
        <f>'[2]iWAT - GC Results (nmol g)'!N62/1000</f>
        <v>2.0562024250304058</v>
      </c>
      <c r="O62" s="8">
        <f>'[2]iWAT - GC Results (nmol g)'!O62/1000</f>
        <v>1.8379041823267279</v>
      </c>
      <c r="P62" s="8">
        <f>'[2]iWAT - GC Results (nmol g)'!P62/1000</f>
        <v>1.8463602156600232</v>
      </c>
      <c r="Q62" s="8">
        <f>'[2]iWAT - GC Results (nmol g)'!Q62/1000</f>
        <v>1.3649881060160505</v>
      </c>
      <c r="R62" s="8">
        <f>'[2]iWAT - GC Results (nmol g)'!R62/1000</f>
        <v>3.0209556290749151</v>
      </c>
      <c r="S62" s="8">
        <f>'[2]iWAT - GC Results (nmol g)'!S62/1000</f>
        <v>1.0297544385686439</v>
      </c>
      <c r="T62" s="8">
        <f>'[2]iWAT - GC Results (nmol g)'!T62/1000</f>
        <v>2.1709747097319405</v>
      </c>
      <c r="U62" s="8"/>
      <c r="V62" s="8">
        <f>'[2]iWAT - GC Results (nmol g)'!V62/1000</f>
        <v>2.3495294844502324</v>
      </c>
      <c r="W62" s="8">
        <f>'[2]iWAT - GC Results (nmol g)'!W62/1000</f>
        <v>1.3201815270780339</v>
      </c>
      <c r="X62" s="8"/>
      <c r="Y62" s="8">
        <f>'[2]iWAT - GC Results (nmol g)'!Y62/1000</f>
        <v>2.3764412572904461</v>
      </c>
      <c r="Z62" s="8">
        <f>'[2]iWAT - GC Results (nmol g)'!Z62/1000</f>
        <v>1.9715862742405359</v>
      </c>
      <c r="AA62" s="8">
        <f>'[2]iWAT - GC Results (nmol g)'!AA62/1000</f>
        <v>2.3107417556479048</v>
      </c>
      <c r="AB62" s="8">
        <f>'[2]iWAT - GC Results (nmol g)'!AB62/1000</f>
        <v>1.9251117776778905</v>
      </c>
      <c r="AC62" s="8">
        <f>'[2]iWAT - GC Results (nmol g)'!AC62/1000</f>
        <v>1.6479372541083903</v>
      </c>
      <c r="AD62" s="8">
        <f>'[2]iWAT - GC Results (nmol g)'!AD62/1000</f>
        <v>1.8013170084845695</v>
      </c>
      <c r="AE62" s="8">
        <f>'[2]iWAT - GC Results (nmol g)'!AE62/1000</f>
        <v>1.6285985784335384</v>
      </c>
      <c r="AF62" s="8">
        <f>'[2]iWAT - GC Results (nmol g)'!AF62/1000</f>
        <v>1.2272136633752815</v>
      </c>
      <c r="AG62" s="8">
        <f>'[2]iWAT - GC Results (nmol g)'!AG62/1000</f>
        <v>1.4519921465893242</v>
      </c>
      <c r="AH62" s="8">
        <f>'[2]iWAT - GC Results (nmol g)'!AH62/1000</f>
        <v>1.8580884699355382</v>
      </c>
      <c r="AI62" s="9"/>
      <c r="AJ62" s="9"/>
    </row>
    <row r="63" spans="1:36" x14ac:dyDescent="0.2">
      <c r="A63" s="3"/>
      <c r="B63" s="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9"/>
      <c r="AJ63" s="9"/>
    </row>
    <row r="64" spans="1:36" x14ac:dyDescent="0.2">
      <c r="A64" s="10" t="s">
        <v>48</v>
      </c>
      <c r="B64" s="3"/>
      <c r="C64" s="13">
        <f>SUM(C48:C62)</f>
        <v>1280.5103124607233</v>
      </c>
      <c r="D64" s="13">
        <f>SUM(D48:D62)</f>
        <v>1704.8408202401495</v>
      </c>
      <c r="E64" s="13">
        <f>SUM(E48:E62)</f>
        <v>1785.1810402365804</v>
      </c>
      <c r="F64" s="13">
        <f>SUM(F48:F62)</f>
        <v>1722.43655577102</v>
      </c>
      <c r="G64" s="13">
        <f>SUM(G48:G62)</f>
        <v>1854.346265835389</v>
      </c>
      <c r="H64" s="13">
        <f>SUM(H48:H62)</f>
        <v>1518.0175870209091</v>
      </c>
      <c r="I64" s="13">
        <f>SUM(I48:I62)</f>
        <v>1560.8173245156559</v>
      </c>
      <c r="J64" s="13">
        <f>SUM(J48:J62)</f>
        <v>1241.6820559001169</v>
      </c>
      <c r="K64" s="13">
        <f>SUM(K48:K62)</f>
        <v>1595.7223381967315</v>
      </c>
      <c r="L64" s="13">
        <f>SUM(L48:L62)</f>
        <v>1594.6287618812437</v>
      </c>
      <c r="M64" s="13"/>
      <c r="N64" s="13">
        <f>SUM(N48:N62)</f>
        <v>1491.9930132682478</v>
      </c>
      <c r="O64" s="13">
        <f>SUM(O48:O62)</f>
        <v>1472.9228993616318</v>
      </c>
      <c r="P64" s="13">
        <f>SUM(P48:P62)</f>
        <v>1366.8008614284502</v>
      </c>
      <c r="Q64" s="13">
        <f>SUM(Q48:Q62)</f>
        <v>1419.1699781987111</v>
      </c>
      <c r="R64" s="13">
        <f>SUM(R48:R62)</f>
        <v>2029.765058953383</v>
      </c>
      <c r="S64" s="13">
        <f>SUM(S48:S62)</f>
        <v>1473.7824981500562</v>
      </c>
      <c r="T64" s="13">
        <f>SUM(T48:T62)</f>
        <v>1425.2755255154862</v>
      </c>
      <c r="U64" s="13"/>
      <c r="V64" s="13">
        <f>SUM(V48:V62)</f>
        <v>1407.2187813474297</v>
      </c>
      <c r="W64" s="13">
        <f>SUM(W48:W62)</f>
        <v>1747.8101311515795</v>
      </c>
      <c r="X64" s="13"/>
      <c r="Y64" s="13">
        <f>SUM(Y48:Y62)</f>
        <v>1587.4865544601578</v>
      </c>
      <c r="Z64" s="13">
        <f>SUM(Z48:Z62)</f>
        <v>1625.3812403322681</v>
      </c>
      <c r="AA64" s="13">
        <f>SUM(AA48:AA62)</f>
        <v>1441.5582904187813</v>
      </c>
      <c r="AB64" s="13">
        <f>SUM(AB48:AB62)</f>
        <v>1627.8425290522346</v>
      </c>
      <c r="AC64" s="13">
        <f>SUM(AC48:AC62)</f>
        <v>1531.5387903478231</v>
      </c>
      <c r="AD64" s="13">
        <f>SUM(AD48:AD62)</f>
        <v>1565.006442537757</v>
      </c>
      <c r="AE64" s="13">
        <f>SUM(AE48:AE62)</f>
        <v>1572.642096740215</v>
      </c>
      <c r="AF64" s="13">
        <f>SUM(AF48:AF62)</f>
        <v>1284.075710588967</v>
      </c>
      <c r="AG64" s="13">
        <f>SUM(AG48:AG62)</f>
        <v>1374.4988892598512</v>
      </c>
      <c r="AH64" s="13">
        <f>SUM(AH48:AH62)</f>
        <v>1297.2820021765269</v>
      </c>
      <c r="AI64" s="11"/>
      <c r="AJ64" s="11"/>
    </row>
    <row r="65" spans="1:34" x14ac:dyDescent="0.2">
      <c r="A65" s="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</sheetData>
  <mergeCells count="10">
    <mergeCell ref="A42:B42"/>
    <mergeCell ref="A46:B46"/>
    <mergeCell ref="A63:B63"/>
    <mergeCell ref="A64:B64"/>
    <mergeCell ref="A1:B1"/>
    <mergeCell ref="A2:B2"/>
    <mergeCell ref="A19:B19"/>
    <mergeCell ref="A20:B20"/>
    <mergeCell ref="A24:B24"/>
    <mergeCell ref="A41:B4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2AEA-D79D-E245-AF73-341580773E75}">
  <dimension ref="A1:AH66"/>
  <sheetViews>
    <sheetView zoomScale="130" zoomScaleNormal="130" workbookViewId="0">
      <pane xSplit="2" ySplit="1" topLeftCell="P15" activePane="bottomRight" state="frozenSplit"/>
      <selection pane="topRight" activeCell="C1" sqref="C1"/>
      <selection pane="bottomLeft" activeCell="A2" sqref="A2"/>
      <selection pane="bottomRight" activeCell="Y42" sqref="Y25:Y42"/>
    </sheetView>
  </sheetViews>
  <sheetFormatPr baseColWidth="10" defaultColWidth="8.83203125" defaultRowHeight="15" x14ac:dyDescent="0.2"/>
  <cols>
    <col min="2" max="2" width="31.1640625" customWidth="1"/>
    <col min="3" max="9" width="10.5" bestFit="1" customWidth="1"/>
    <col min="10" max="10" width="11.83203125" customWidth="1"/>
    <col min="11" max="11" width="12" customWidth="1"/>
    <col min="12" max="12" width="10.5" customWidth="1"/>
    <col min="13" max="14" width="10.5" bestFit="1" customWidth="1"/>
    <col min="15" max="15" width="11.5" bestFit="1" customWidth="1"/>
    <col min="16" max="17" width="10.5" bestFit="1" customWidth="1"/>
    <col min="18" max="18" width="10" customWidth="1"/>
    <col min="19" max="19" width="10.83203125" customWidth="1"/>
    <col min="20" max="20" width="10.5" customWidth="1"/>
    <col min="21" max="22" width="10.83203125" customWidth="1"/>
    <col min="23" max="23" width="11" customWidth="1"/>
    <col min="24" max="24" width="9.6640625" bestFit="1" customWidth="1"/>
    <col min="25" max="27" width="10.5" customWidth="1"/>
    <col min="28" max="28" width="11.1640625" customWidth="1"/>
    <col min="29" max="30" width="10.6640625" customWidth="1"/>
    <col min="31" max="31" width="10.83203125" customWidth="1"/>
    <col min="32" max="32" width="10.1640625" customWidth="1"/>
    <col min="33" max="34" width="10.33203125" customWidth="1"/>
  </cols>
  <sheetData>
    <row r="1" spans="1:34" ht="22" x14ac:dyDescent="0.3">
      <c r="A1" s="1" t="s">
        <v>83</v>
      </c>
      <c r="B1" s="1"/>
    </row>
    <row r="2" spans="1:34" ht="16" x14ac:dyDescent="0.2">
      <c r="A2" s="2" t="s">
        <v>1</v>
      </c>
      <c r="B2" s="3"/>
    </row>
    <row r="3" spans="1:34" x14ac:dyDescent="0.2">
      <c r="A3" s="4" t="s">
        <v>2</v>
      </c>
      <c r="B3" s="4"/>
      <c r="C3" s="7" t="s">
        <v>84</v>
      </c>
      <c r="D3" s="7" t="s">
        <v>85</v>
      </c>
      <c r="E3" s="7" t="s">
        <v>86</v>
      </c>
      <c r="F3" s="7"/>
      <c r="G3" s="7" t="s">
        <v>88</v>
      </c>
      <c r="H3" s="7" t="s">
        <v>89</v>
      </c>
      <c r="I3" s="7" t="s">
        <v>90</v>
      </c>
      <c r="J3" s="7" t="s">
        <v>91</v>
      </c>
      <c r="K3" s="7" t="s">
        <v>92</v>
      </c>
      <c r="L3" s="7" t="s">
        <v>93</v>
      </c>
      <c r="M3" s="19"/>
      <c r="N3" s="7" t="s">
        <v>94</v>
      </c>
      <c r="O3" s="7" t="s">
        <v>95</v>
      </c>
      <c r="P3" s="7" t="s">
        <v>96</v>
      </c>
      <c r="Q3" s="7" t="s">
        <v>97</v>
      </c>
      <c r="R3" s="7" t="s">
        <v>98</v>
      </c>
      <c r="S3" s="7" t="s">
        <v>99</v>
      </c>
      <c r="T3" s="7" t="s">
        <v>100</v>
      </c>
      <c r="U3" s="7" t="s">
        <v>101</v>
      </c>
      <c r="V3" s="7" t="s">
        <v>102</v>
      </c>
      <c r="W3" s="7" t="s">
        <v>103</v>
      </c>
      <c r="X3" s="19"/>
      <c r="Y3" s="5" t="s">
        <v>104</v>
      </c>
      <c r="Z3" s="5" t="s">
        <v>105</v>
      </c>
      <c r="AA3" s="5" t="s">
        <v>106</v>
      </c>
      <c r="AB3" s="5" t="s">
        <v>107</v>
      </c>
      <c r="AC3" s="5" t="s">
        <v>108</v>
      </c>
      <c r="AD3" s="5" t="s">
        <v>109</v>
      </c>
      <c r="AE3" s="5" t="s">
        <v>110</v>
      </c>
      <c r="AF3" s="5" t="s">
        <v>111</v>
      </c>
      <c r="AG3" s="5" t="s">
        <v>112</v>
      </c>
      <c r="AH3" s="5" t="s">
        <v>113</v>
      </c>
    </row>
    <row r="4" spans="1:34" x14ac:dyDescent="0.2">
      <c r="A4" t="s">
        <v>33</v>
      </c>
      <c r="C4" s="18">
        <f>'[3]Liver - GC Results (nmol g)'!C4/1000</f>
        <v>1.9506636656745215E-2</v>
      </c>
      <c r="D4" s="18">
        <f>'[3]Liver - GC Results (nmol g)'!D4/1000</f>
        <v>1.7327072355453697E-2</v>
      </c>
      <c r="E4" s="18">
        <f>'[3]Liver - GC Results (nmol g)'!E4/1000</f>
        <v>1.9061157044629056E-2</v>
      </c>
      <c r="F4" s="18"/>
      <c r="G4" s="18">
        <f>'[3]Liver - GC Results (nmol g)'!G4/1000</f>
        <v>1.6529372149404455E-2</v>
      </c>
      <c r="H4" s="18">
        <f>'[3]Liver - GC Results (nmol g)'!H4/1000</f>
        <v>1.9428917508905179E-2</v>
      </c>
      <c r="I4" s="18">
        <f>'[3]Liver - GC Results (nmol g)'!I4/1000</f>
        <v>1.9314759297986272E-2</v>
      </c>
      <c r="J4" s="18">
        <f>'[3]Liver - GC Results (nmol g)'!J4/1000</f>
        <v>1.9117053858265516E-2</v>
      </c>
      <c r="K4" s="18">
        <f>'[3]Liver - GC Results (nmol g)'!K4/1000</f>
        <v>2.2743379630209771E-2</v>
      </c>
      <c r="L4" s="18">
        <f>'[3]Liver - GC Results (nmol g)'!L4/1000</f>
        <v>2.0430412195534972E-2</v>
      </c>
      <c r="M4" s="18"/>
      <c r="N4" s="18">
        <f>'[3]Liver - GC Results (nmol g)'!N4/1000</f>
        <v>1.9333415029593543E-2</v>
      </c>
      <c r="O4" s="18">
        <f>'[3]Liver - GC Results (nmol g)'!O4/1000</f>
        <v>1.7813436101996257E-2</v>
      </c>
      <c r="P4" s="18">
        <f>'[3]Liver - GC Results (nmol g)'!P4/1000</f>
        <v>2.0341215481221451E-2</v>
      </c>
      <c r="Q4" s="18">
        <f>'[3]Liver - GC Results (nmol g)'!Q4/1000</f>
        <v>2.1277661414481171E-2</v>
      </c>
      <c r="R4" s="18">
        <f>'[3]Liver - GC Results (nmol g)'!R4/1000</f>
        <v>1.2474150410842957E-2</v>
      </c>
      <c r="S4" s="18">
        <f>'[3]Liver - GC Results (nmol g)'!S4/1000</f>
        <v>1.6591026211649259E-2</v>
      </c>
      <c r="T4" s="18">
        <f>'[3]Liver - GC Results (nmol g)'!T4/1000</f>
        <v>1.8256950781033187E-2</v>
      </c>
      <c r="U4" s="18">
        <f>'[3]Liver - GC Results (nmol g)'!U4/1000</f>
        <v>1.4542202955162325E-2</v>
      </c>
      <c r="V4" s="18">
        <f>'[3]Liver - GC Results (nmol g)'!V4/1000</f>
        <v>2.5351609343793914E-2</v>
      </c>
      <c r="W4" s="18">
        <f>'[3]Liver - GC Results (nmol g)'!W4/1000</f>
        <v>1.8867399888088877E-2</v>
      </c>
      <c r="X4" s="18"/>
      <c r="Y4" s="18">
        <f>'[3]Liver - GC Results (nmol g)'!Y4/1000</f>
        <v>1.1850105938411239E-2</v>
      </c>
      <c r="Z4" s="18">
        <f>'[3]Liver - GC Results (nmol g)'!Z4/1000</f>
        <v>2.0692381391534308E-2</v>
      </c>
      <c r="AA4" s="18">
        <f>'[3]Liver - GC Results (nmol g)'!AA4/1000</f>
        <v>1.7922329484729983E-2</v>
      </c>
      <c r="AB4" s="18">
        <f>'[3]Liver - GC Results (nmol g)'!AB4/1000</f>
        <v>2.4199082650972811E-2</v>
      </c>
      <c r="AC4" s="18">
        <f>'[3]Liver - GC Results (nmol g)'!AC4/1000</f>
        <v>1.2900450558549142E-2</v>
      </c>
      <c r="AD4" s="18">
        <f>'[3]Liver - GC Results (nmol g)'!AD4/1000</f>
        <v>2.0420204977767142E-2</v>
      </c>
      <c r="AE4" s="18">
        <f>'[3]Liver - GC Results (nmol g)'!AE4/1000</f>
        <v>2.1105651795267567E-2</v>
      </c>
      <c r="AF4" s="18">
        <f>'[3]Liver - GC Results (nmol g)'!AF4/1000</f>
        <v>1.5627855635514956E-2</v>
      </c>
      <c r="AG4" s="18">
        <f>'[3]Liver - GC Results (nmol g)'!AG4/1000</f>
        <v>1.6061138141413585E-2</v>
      </c>
      <c r="AH4" s="18">
        <f>'[3]Liver - GC Results (nmol g)'!AH4/1000</f>
        <v>1.6878588736091306E-2</v>
      </c>
    </row>
    <row r="5" spans="1:34" x14ac:dyDescent="0.2">
      <c r="A5" t="s">
        <v>34</v>
      </c>
      <c r="C5" s="18">
        <f>'[3]Liver - GC Results (nmol g)'!C5/1000</f>
        <v>0</v>
      </c>
      <c r="D5" s="18">
        <f>'[3]Liver - GC Results (nmol g)'!D5/1000</f>
        <v>0</v>
      </c>
      <c r="E5" s="18">
        <f>'[3]Liver - GC Results (nmol g)'!E5/1000</f>
        <v>0</v>
      </c>
      <c r="F5" s="18"/>
      <c r="G5" s="18">
        <f>'[3]Liver - GC Results (nmol g)'!G5/1000</f>
        <v>0</v>
      </c>
      <c r="H5" s="18">
        <f>'[3]Liver - GC Results (nmol g)'!H5/1000</f>
        <v>0</v>
      </c>
      <c r="I5" s="18">
        <f>'[3]Liver - GC Results (nmol g)'!I5/1000</f>
        <v>0</v>
      </c>
      <c r="J5" s="18">
        <f>'[3]Liver - GC Results (nmol g)'!J5/1000</f>
        <v>0</v>
      </c>
      <c r="K5" s="18">
        <f>'[3]Liver - GC Results (nmol g)'!K5/1000</f>
        <v>0</v>
      </c>
      <c r="L5" s="18">
        <f>'[3]Liver - GC Results (nmol g)'!L5/1000</f>
        <v>0</v>
      </c>
      <c r="M5" s="18"/>
      <c r="N5" s="18">
        <f>'[3]Liver - GC Results (nmol g)'!N5/1000</f>
        <v>0</v>
      </c>
      <c r="O5" s="18">
        <f>'[3]Liver - GC Results (nmol g)'!O5/1000</f>
        <v>0</v>
      </c>
      <c r="P5" s="18">
        <f>'[3]Liver - GC Results (nmol g)'!P5/1000</f>
        <v>0</v>
      </c>
      <c r="Q5" s="18">
        <f>'[3]Liver - GC Results (nmol g)'!Q5/1000</f>
        <v>0</v>
      </c>
      <c r="R5" s="18">
        <f>'[3]Liver - GC Results (nmol g)'!R5/1000</f>
        <v>0</v>
      </c>
      <c r="S5" s="18">
        <f>'[3]Liver - GC Results (nmol g)'!S5/1000</f>
        <v>0</v>
      </c>
      <c r="T5" s="18">
        <f>'[3]Liver - GC Results (nmol g)'!T5/1000</f>
        <v>0</v>
      </c>
      <c r="U5" s="18">
        <f>'[3]Liver - GC Results (nmol g)'!U5/1000</f>
        <v>0</v>
      </c>
      <c r="V5" s="18">
        <f>'[3]Liver - GC Results (nmol g)'!V5/1000</f>
        <v>0</v>
      </c>
      <c r="W5" s="18">
        <f>'[3]Liver - GC Results (nmol g)'!W5/1000</f>
        <v>0</v>
      </c>
      <c r="X5" s="18"/>
      <c r="Y5" s="18">
        <f>'[3]Liver - GC Results (nmol g)'!Y5/1000</f>
        <v>0</v>
      </c>
      <c r="Z5" s="18">
        <f>'[3]Liver - GC Results (nmol g)'!Z5/1000</f>
        <v>0</v>
      </c>
      <c r="AA5" s="18">
        <f>'[3]Liver - GC Results (nmol g)'!AA5/1000</f>
        <v>0</v>
      </c>
      <c r="AB5" s="18">
        <f>'[3]Liver - GC Results (nmol g)'!AB5/1000</f>
        <v>0</v>
      </c>
      <c r="AC5" s="18">
        <f>'[3]Liver - GC Results (nmol g)'!AC5/1000</f>
        <v>0</v>
      </c>
      <c r="AD5" s="18">
        <f>'[3]Liver - GC Results (nmol g)'!AD5/1000</f>
        <v>0</v>
      </c>
      <c r="AE5" s="18">
        <f>'[3]Liver - GC Results (nmol g)'!AE5/1000</f>
        <v>0</v>
      </c>
      <c r="AF5" s="18">
        <f>'[3]Liver - GC Results (nmol g)'!AF5/1000</f>
        <v>0</v>
      </c>
      <c r="AG5" s="18">
        <f>'[3]Liver - GC Results (nmol g)'!AG5/1000</f>
        <v>0</v>
      </c>
      <c r="AH5" s="18">
        <f>'[3]Liver - GC Results (nmol g)'!AH5/1000</f>
        <v>0</v>
      </c>
    </row>
    <row r="6" spans="1:34" x14ac:dyDescent="0.2">
      <c r="A6" t="s">
        <v>35</v>
      </c>
      <c r="C6" s="18">
        <f>'[3]Liver - GC Results (nmol g)'!C6/1000</f>
        <v>0.15731117306876335</v>
      </c>
      <c r="D6" s="18">
        <f>'[3]Liver - GC Results (nmol g)'!D6/1000</f>
        <v>0.1622090330994069</v>
      </c>
      <c r="E6" s="18">
        <f>'[3]Liver - GC Results (nmol g)'!E6/1000</f>
        <v>0.14377119082842274</v>
      </c>
      <c r="F6" s="18"/>
      <c r="G6" s="18">
        <f>'[3]Liver - GC Results (nmol g)'!G6/1000</f>
        <v>0.15895422800960871</v>
      </c>
      <c r="H6" s="18">
        <f>'[3]Liver - GC Results (nmol g)'!H6/1000</f>
        <v>0.21125119834893472</v>
      </c>
      <c r="I6" s="18">
        <f>'[3]Liver - GC Results (nmol g)'!I6/1000</f>
        <v>0.18623002026408358</v>
      </c>
      <c r="J6" s="18">
        <f>'[3]Liver - GC Results (nmol g)'!J6/1000</f>
        <v>0.22241749656499499</v>
      </c>
      <c r="K6" s="18">
        <f>'[3]Liver - GC Results (nmol g)'!K6/1000</f>
        <v>0.24071151599487536</v>
      </c>
      <c r="L6" s="18">
        <f>'[3]Liver - GC Results (nmol g)'!L6/1000</f>
        <v>0.22588642187976002</v>
      </c>
      <c r="M6" s="18"/>
      <c r="N6" s="18">
        <f>'[3]Liver - GC Results (nmol g)'!N6/1000</f>
        <v>0.22225160708385899</v>
      </c>
      <c r="O6" s="18">
        <f>'[3]Liver - GC Results (nmol g)'!O6/1000</f>
        <v>0.23661467201867611</v>
      </c>
      <c r="P6" s="18">
        <f>'[3]Liver - GC Results (nmol g)'!P6/1000</f>
        <v>0.19207837395250921</v>
      </c>
      <c r="Q6" s="18">
        <f>'[3]Liver - GC Results (nmol g)'!Q6/1000</f>
        <v>0.17875004616850484</v>
      </c>
      <c r="R6" s="18">
        <f>'[3]Liver - GC Results (nmol g)'!R6/1000</f>
        <v>0.11239403697483999</v>
      </c>
      <c r="S6" s="18">
        <f>'[3]Liver - GC Results (nmol g)'!S6/1000</f>
        <v>0.16807322072934375</v>
      </c>
      <c r="T6" s="18">
        <f>'[3]Liver - GC Results (nmol g)'!T6/1000</f>
        <v>0.1891691154890684</v>
      </c>
      <c r="U6" s="18">
        <f>'[3]Liver - GC Results (nmol g)'!U6/1000</f>
        <v>0.14041177008735223</v>
      </c>
      <c r="V6" s="18">
        <f>'[3]Liver - GC Results (nmol g)'!V6/1000</f>
        <v>0.25389494217435071</v>
      </c>
      <c r="W6" s="18">
        <f>'[3]Liver - GC Results (nmol g)'!W6/1000</f>
        <v>0.2205369357041205</v>
      </c>
      <c r="X6" s="18"/>
      <c r="Y6" s="18">
        <f>'[3]Liver - GC Results (nmol g)'!Y6/1000</f>
        <v>0.13183579086923028</v>
      </c>
      <c r="Z6" s="18">
        <f>'[3]Liver - GC Results (nmol g)'!Z6/1000</f>
        <v>0.1732858811705642</v>
      </c>
      <c r="AA6" s="18">
        <f>'[3]Liver - GC Results (nmol g)'!AA6/1000</f>
        <v>0.28173405856992145</v>
      </c>
      <c r="AB6" s="18">
        <f>'[3]Liver - GC Results (nmol g)'!AB6/1000</f>
        <v>0.22579589287736623</v>
      </c>
      <c r="AC6" s="18">
        <f>'[3]Liver - GC Results (nmol g)'!AC6/1000</f>
        <v>0.14135955707902403</v>
      </c>
      <c r="AD6" s="18">
        <f>'[3]Liver - GC Results (nmol g)'!AD6/1000</f>
        <v>0.16204916831888108</v>
      </c>
      <c r="AE6" s="18">
        <f>'[3]Liver - GC Results (nmol g)'!AE6/1000</f>
        <v>0.2181326757975364</v>
      </c>
      <c r="AF6" s="18">
        <f>'[3]Liver - GC Results (nmol g)'!AF6/1000</f>
        <v>0.1871852945086977</v>
      </c>
      <c r="AG6" s="18">
        <f>'[3]Liver - GC Results (nmol g)'!AG6/1000</f>
        <v>0.21055578026284436</v>
      </c>
      <c r="AH6" s="18">
        <f>'[3]Liver - GC Results (nmol g)'!AH6/1000</f>
        <v>0.18943603935809294</v>
      </c>
    </row>
    <row r="7" spans="1:34" x14ac:dyDescent="0.2">
      <c r="A7" t="s">
        <v>36</v>
      </c>
      <c r="C7" s="18">
        <f>'[3]Liver - GC Results (nmol g)'!C7/1000</f>
        <v>1.6469308540235029E-2</v>
      </c>
      <c r="D7" s="18">
        <f>'[3]Liver - GC Results (nmol g)'!D7/1000</f>
        <v>1.5055964887595143E-2</v>
      </c>
      <c r="E7" s="18">
        <f>'[3]Liver - GC Results (nmol g)'!E7/1000</f>
        <v>1.1378356279985404E-2</v>
      </c>
      <c r="F7" s="18"/>
      <c r="G7" s="18">
        <f>'[3]Liver - GC Results (nmol g)'!G7/1000</f>
        <v>1.4725941640343087E-2</v>
      </c>
      <c r="H7" s="18">
        <f>'[3]Liver - GC Results (nmol g)'!H7/1000</f>
        <v>1.373789632547249E-2</v>
      </c>
      <c r="I7" s="18">
        <f>'[3]Liver - GC Results (nmol g)'!I7/1000</f>
        <v>1.4687352797056413E-2</v>
      </c>
      <c r="J7" s="18">
        <f>'[3]Liver - GC Results (nmol g)'!J7/1000</f>
        <v>1.6378921230561002E-2</v>
      </c>
      <c r="K7" s="18">
        <f>'[3]Liver - GC Results (nmol g)'!K7/1000</f>
        <v>1.9155603892749808E-2</v>
      </c>
      <c r="L7" s="18">
        <f>'[3]Liver - GC Results (nmol g)'!L7/1000</f>
        <v>1.4975490342694764E-2</v>
      </c>
      <c r="M7" s="18"/>
      <c r="N7" s="18">
        <f>'[3]Liver - GC Results (nmol g)'!N7/1000</f>
        <v>1.9078914942720949E-2</v>
      </c>
      <c r="O7" s="18">
        <f>'[3]Liver - GC Results (nmol g)'!O7/1000</f>
        <v>1.856397002938185E-2</v>
      </c>
      <c r="P7" s="18">
        <f>'[3]Liver - GC Results (nmol g)'!P7/1000</f>
        <v>1.5646747547779345E-2</v>
      </c>
      <c r="Q7" s="18">
        <f>'[3]Liver - GC Results (nmol g)'!Q7/1000</f>
        <v>1.9827429245679356E-2</v>
      </c>
      <c r="R7" s="18">
        <f>'[3]Liver - GC Results (nmol g)'!R7/1000</f>
        <v>1.0858121029835513E-2</v>
      </c>
      <c r="S7" s="18">
        <f>'[3]Liver - GC Results (nmol g)'!S7/1000</f>
        <v>1.3947528590249518E-2</v>
      </c>
      <c r="T7" s="18">
        <f>'[3]Liver - GC Results (nmol g)'!T7/1000</f>
        <v>2.064362407721998E-2</v>
      </c>
      <c r="U7" s="18">
        <f>'[3]Liver - GC Results (nmol g)'!U7/1000</f>
        <v>1.1345657458544654E-2</v>
      </c>
      <c r="V7" s="18">
        <f>'[3]Liver - GC Results (nmol g)'!V7/1000</f>
        <v>1.8247129813798411E-2</v>
      </c>
      <c r="W7" s="18">
        <f>'[3]Liver - GC Results (nmol g)'!W7/1000</f>
        <v>2.3173726986948921E-2</v>
      </c>
      <c r="X7" s="18"/>
      <c r="Y7" s="18">
        <f>'[3]Liver - GC Results (nmol g)'!Y7/1000</f>
        <v>1.1901507133304583E-2</v>
      </c>
      <c r="Z7" s="18">
        <f>'[3]Liver - GC Results (nmol g)'!Z7/1000</f>
        <v>1.4220716842273048E-2</v>
      </c>
      <c r="AA7" s="18">
        <f>'[3]Liver - GC Results (nmol g)'!AA7/1000</f>
        <v>1.1410745753280532E-2</v>
      </c>
      <c r="AB7" s="18">
        <f>'[3]Liver - GC Results (nmol g)'!AB7/1000</f>
        <v>1.8972876504677653E-2</v>
      </c>
      <c r="AC7" s="18">
        <f>'[3]Liver - GC Results (nmol g)'!AC7/1000</f>
        <v>1.2102796920289054E-2</v>
      </c>
      <c r="AD7" s="18">
        <f>'[3]Liver - GC Results (nmol g)'!AD7/1000</f>
        <v>1.7959702855594312E-2</v>
      </c>
      <c r="AE7" s="18">
        <f>'[3]Liver - GC Results (nmol g)'!AE7/1000</f>
        <v>1.4405552113234537E-2</v>
      </c>
      <c r="AF7" s="18">
        <f>'[3]Liver - GC Results (nmol g)'!AF7/1000</f>
        <v>1.124221558747103E-2</v>
      </c>
      <c r="AG7" s="18">
        <f>'[3]Liver - GC Results (nmol g)'!AG7/1000</f>
        <v>1.0548744941554274E-2</v>
      </c>
      <c r="AH7" s="18">
        <f>'[3]Liver - GC Results (nmol g)'!AH7/1000</f>
        <v>1.1488993199475279E-2</v>
      </c>
    </row>
    <row r="8" spans="1:34" x14ac:dyDescent="0.2">
      <c r="A8" t="s">
        <v>37</v>
      </c>
      <c r="C8" s="18">
        <f>'[3]Liver - GC Results (nmol g)'!C8/1000</f>
        <v>9.3407505559260015E-2</v>
      </c>
      <c r="D8" s="18">
        <f>'[3]Liver - GC Results (nmol g)'!D8/1000</f>
        <v>0.11611997353434127</v>
      </c>
      <c r="E8" s="18">
        <f>'[3]Liver - GC Results (nmol g)'!E8/1000</f>
        <v>8.5914278384038908E-2</v>
      </c>
      <c r="F8" s="18"/>
      <c r="G8" s="18">
        <f>'[3]Liver - GC Results (nmol g)'!G8/1000</f>
        <v>0.11171222856255561</v>
      </c>
      <c r="H8" s="18">
        <f>'[3]Liver - GC Results (nmol g)'!H8/1000</f>
        <v>0.15924794776393728</v>
      </c>
      <c r="I8" s="18">
        <f>'[3]Liver - GC Results (nmol g)'!I8/1000</f>
        <v>0.12144098973097436</v>
      </c>
      <c r="J8" s="18">
        <f>'[3]Liver - GC Results (nmol g)'!J8/1000</f>
        <v>0.14621856230990427</v>
      </c>
      <c r="K8" s="18">
        <f>'[3]Liver - GC Results (nmol g)'!K8/1000</f>
        <v>0.17339986298070817</v>
      </c>
      <c r="L8" s="18">
        <f>'[3]Liver - GC Results (nmol g)'!L8/1000</f>
        <v>0.21395650853691411</v>
      </c>
      <c r="M8" s="18"/>
      <c r="N8" s="18">
        <f>'[3]Liver - GC Results (nmol g)'!N8/1000</f>
        <v>0.15830705653572247</v>
      </c>
      <c r="O8" s="18">
        <f>'[3]Liver - GC Results (nmol g)'!O8/1000</f>
        <v>0.16169732528186179</v>
      </c>
      <c r="P8" s="18">
        <f>'[3]Liver - GC Results (nmol g)'!P8/1000</f>
        <v>0.13652401099808104</v>
      </c>
      <c r="Q8" s="18">
        <f>'[3]Liver - GC Results (nmol g)'!Q8/1000</f>
        <v>0.11461451740770175</v>
      </c>
      <c r="R8" s="18">
        <f>'[3]Liver - GC Results (nmol g)'!R8/1000</f>
        <v>7.211080156295685E-2</v>
      </c>
      <c r="S8" s="18">
        <f>'[3]Liver - GC Results (nmol g)'!S8/1000</f>
        <v>0.12322308585426432</v>
      </c>
      <c r="T8" s="18">
        <f>'[3]Liver - GC Results (nmol g)'!T8/1000</f>
        <v>0.1282534107463103</v>
      </c>
      <c r="U8" s="18">
        <f>'[3]Liver - GC Results (nmol g)'!U8/1000</f>
        <v>9.0411639627074478E-2</v>
      </c>
      <c r="V8" s="18">
        <f>'[3]Liver - GC Results (nmol g)'!V8/1000</f>
        <v>0.16185579436007236</v>
      </c>
      <c r="W8" s="18">
        <f>'[3]Liver - GC Results (nmol g)'!W8/1000</f>
        <v>0.12527839314915529</v>
      </c>
      <c r="X8" s="18"/>
      <c r="Y8" s="18">
        <f>'[3]Liver - GC Results (nmol g)'!Y8/1000</f>
        <v>8.5639335738325578E-2</v>
      </c>
      <c r="Z8" s="18">
        <f>'[3]Liver - GC Results (nmol g)'!Z8/1000</f>
        <v>0.11693598560687408</v>
      </c>
      <c r="AA8" s="18">
        <f>'[3]Liver - GC Results (nmol g)'!AA8/1000</f>
        <v>0.1886612448333248</v>
      </c>
      <c r="AB8" s="18">
        <f>'[3]Liver - GC Results (nmol g)'!AB8/1000</f>
        <v>0.13662059767845652</v>
      </c>
      <c r="AC8" s="18">
        <f>'[3]Liver - GC Results (nmol g)'!AC8/1000</f>
        <v>9.0250416673816489E-2</v>
      </c>
      <c r="AD8" s="18">
        <f>'[3]Liver - GC Results (nmol g)'!AD8/1000</f>
        <v>0.10411085163097267</v>
      </c>
      <c r="AE8" s="18">
        <f>'[3]Liver - GC Results (nmol g)'!AE8/1000</f>
        <v>0.13833357951926709</v>
      </c>
      <c r="AF8" s="18">
        <f>'[3]Liver - GC Results (nmol g)'!AF8/1000</f>
        <v>0.12522285366559724</v>
      </c>
      <c r="AG8" s="18">
        <f>'[3]Liver - GC Results (nmol g)'!AG8/1000</f>
        <v>0.15225676616532194</v>
      </c>
      <c r="AH8" s="18">
        <f>'[3]Liver - GC Results (nmol g)'!AH8/1000</f>
        <v>0.13878575707166002</v>
      </c>
    </row>
    <row r="9" spans="1:34" x14ac:dyDescent="0.2">
      <c r="A9" t="s">
        <v>38</v>
      </c>
      <c r="C9" s="18">
        <f>'[3]Liver - GC Results (nmol g)'!C9/1000</f>
        <v>5.0901688383734892E-2</v>
      </c>
      <c r="D9" s="18">
        <f>'[3]Liver - GC Results (nmol g)'!D9/1000</f>
        <v>5.5292475389477506E-2</v>
      </c>
      <c r="E9" s="18">
        <f>'[3]Liver - GC Results (nmol g)'!E9/1000</f>
        <v>4.7197261409690244E-2</v>
      </c>
      <c r="F9" s="18"/>
      <c r="G9" s="18">
        <f>'[3]Liver - GC Results (nmol g)'!G9/1000</f>
        <v>5.8803506068390313E-2</v>
      </c>
      <c r="H9" s="18">
        <f>'[3]Liver - GC Results (nmol g)'!H9/1000</f>
        <v>6.031185466458569E-2</v>
      </c>
      <c r="I9" s="18">
        <f>'[3]Liver - GC Results (nmol g)'!I9/1000</f>
        <v>6.6115252774954947E-2</v>
      </c>
      <c r="J9" s="18">
        <f>'[3]Liver - GC Results (nmol g)'!J9/1000</f>
        <v>9.1712731333513611E-2</v>
      </c>
      <c r="K9" s="18">
        <f>'[3]Liver - GC Results (nmol g)'!K9/1000</f>
        <v>8.5960814051115345E-2</v>
      </c>
      <c r="L9" s="18">
        <f>'[3]Liver - GC Results (nmol g)'!L9/1000</f>
        <v>7.0708994443867398E-2</v>
      </c>
      <c r="M9" s="18"/>
      <c r="N9" s="18">
        <f>'[3]Liver - GC Results (nmol g)'!N9/1000</f>
        <v>7.8403288172436081E-2</v>
      </c>
      <c r="O9" s="18">
        <f>'[3]Liver - GC Results (nmol g)'!O9/1000</f>
        <v>7.4061057250072171E-2</v>
      </c>
      <c r="P9" s="18">
        <f>'[3]Liver - GC Results (nmol g)'!P9/1000</f>
        <v>6.8542485638953612E-2</v>
      </c>
      <c r="Q9" s="18">
        <f>'[3]Liver - GC Results (nmol g)'!Q9/1000</f>
        <v>6.7094681633917852E-2</v>
      </c>
      <c r="R9" s="18">
        <f>'[3]Liver - GC Results (nmol g)'!R9/1000</f>
        <v>4.3996078234164536E-2</v>
      </c>
      <c r="S9" s="18">
        <f>'[3]Liver - GC Results (nmol g)'!S9/1000</f>
        <v>5.3040740212189165E-2</v>
      </c>
      <c r="T9" s="18">
        <f>'[3]Liver - GC Results (nmol g)'!T9/1000</f>
        <v>7.4353105956243726E-2</v>
      </c>
      <c r="U9" s="18">
        <f>'[3]Liver - GC Results (nmol g)'!U9/1000</f>
        <v>5.4973139335643427E-2</v>
      </c>
      <c r="V9" s="18">
        <f>'[3]Liver - GC Results (nmol g)'!V9/1000</f>
        <v>8.6768372835871299E-2</v>
      </c>
      <c r="W9" s="18">
        <f>'[3]Liver - GC Results (nmol g)'!W9/1000</f>
        <v>9.8835000941541781E-2</v>
      </c>
      <c r="X9" s="18"/>
      <c r="Y9" s="18">
        <f>'[3]Liver - GC Results (nmol g)'!Y9/1000</f>
        <v>5.4591673602060832E-2</v>
      </c>
      <c r="Z9" s="18">
        <f>'[3]Liver - GC Results (nmol g)'!Z9/1000</f>
        <v>5.9761400089342574E-2</v>
      </c>
      <c r="AA9" s="18">
        <f>'[3]Liver - GC Results (nmol g)'!AA9/1000</f>
        <v>6.5184512774607545E-2</v>
      </c>
      <c r="AB9" s="18">
        <f>'[3]Liver - GC Results (nmol g)'!AB9/1000</f>
        <v>7.0283946702951655E-2</v>
      </c>
      <c r="AC9" s="18">
        <f>'[3]Liver - GC Results (nmol g)'!AC9/1000</f>
        <v>4.5526170419922823E-2</v>
      </c>
      <c r="AD9" s="18">
        <f>'[3]Liver - GC Results (nmol g)'!AD9/1000</f>
        <v>5.5196813981807549E-2</v>
      </c>
      <c r="AE9" s="18">
        <f>'[3]Liver - GC Results (nmol g)'!AE9/1000</f>
        <v>7.1968658206417221E-2</v>
      </c>
      <c r="AF9" s="18">
        <f>'[3]Liver - GC Results (nmol g)'!AF9/1000</f>
        <v>5.7465076848344954E-2</v>
      </c>
      <c r="AG9" s="18">
        <f>'[3]Liver - GC Results (nmol g)'!AG9/1000</f>
        <v>6.4759616014132854E-2</v>
      </c>
      <c r="AH9" s="18">
        <f>'[3]Liver - GC Results (nmol g)'!AH9/1000</f>
        <v>6.1346869450849564E-2</v>
      </c>
    </row>
    <row r="10" spans="1:34" x14ac:dyDescent="0.2">
      <c r="A10" t="s">
        <v>39</v>
      </c>
      <c r="C10" s="18">
        <f>'[3]Liver - GC Results (nmol g)'!C10/1000</f>
        <v>2.3139600000000003E-2</v>
      </c>
      <c r="D10" s="18">
        <f>'[3]Liver - GC Results (nmol g)'!D10/1000</f>
        <v>2.4258400000000003E-2</v>
      </c>
      <c r="E10" s="18">
        <f>'[3]Liver - GC Results (nmol g)'!E10/1000</f>
        <v>8.4256774583931719E-3</v>
      </c>
      <c r="F10" s="18"/>
      <c r="G10" s="18">
        <f>'[3]Liver - GC Results (nmol g)'!G10/1000</f>
        <v>7.1451868480956245E-3</v>
      </c>
      <c r="H10" s="18">
        <f>'[3]Liver - GC Results (nmol g)'!H10/1000</f>
        <v>3.5446987701350539E-2</v>
      </c>
      <c r="I10" s="18">
        <f>'[3]Liver - GC Results (nmol g)'!I10/1000</f>
        <v>2.5728520335557874E-2</v>
      </c>
      <c r="J10" s="18">
        <f>'[3]Liver - GC Results (nmol g)'!J10/1000</f>
        <v>3.8338308760479146E-2</v>
      </c>
      <c r="K10" s="18">
        <f>'[3]Liver - GC Results (nmol g)'!K10/1000</f>
        <v>4.3593622151354719E-2</v>
      </c>
      <c r="L10" s="18">
        <f>'[3]Liver - GC Results (nmol g)'!L10/1000</f>
        <v>7.1404269773155268E-2</v>
      </c>
      <c r="M10" s="18"/>
      <c r="N10" s="18">
        <f>'[3]Liver - GC Results (nmol g)'!N10/1000</f>
        <v>2.163675529899424E-2</v>
      </c>
      <c r="O10" s="18">
        <f>'[3]Liver - GC Results (nmol g)'!O10/1000</f>
        <v>4.7963865599246099E-2</v>
      </c>
      <c r="P10" s="18">
        <f>'[3]Liver - GC Results (nmol g)'!P10/1000</f>
        <v>3.2319696748517875E-2</v>
      </c>
      <c r="Q10" s="18">
        <f>'[3]Liver - GC Results (nmol g)'!Q10/1000</f>
        <v>7.7255554775137909E-3</v>
      </c>
      <c r="R10" s="18">
        <f>'[3]Liver - GC Results (nmol g)'!R10/1000</f>
        <v>4.6375532316896536E-3</v>
      </c>
      <c r="S10" s="18">
        <f>'[3]Liver - GC Results (nmol g)'!S10/1000</f>
        <v>5.0993199999999992E-3</v>
      </c>
      <c r="T10" s="18">
        <f>'[3]Liver - GC Results (nmol g)'!T10/1000</f>
        <v>9.9844422575034314E-3</v>
      </c>
      <c r="U10" s="18">
        <f>'[3]Liver - GC Results (nmol g)'!U10/1000</f>
        <v>1.946228065959825E-3</v>
      </c>
      <c r="V10" s="18">
        <f>'[3]Liver - GC Results (nmol g)'!V10/1000</f>
        <v>7.8239349205011348E-3</v>
      </c>
      <c r="W10" s="18">
        <f>'[3]Liver - GC Results (nmol g)'!W10/1000</f>
        <v>1.3207907621133561E-2</v>
      </c>
      <c r="X10" s="18"/>
      <c r="Y10" s="18">
        <f>'[3]Liver - GC Results (nmol g)'!Y10/1000</f>
        <v>1.1689922307112601E-2</v>
      </c>
      <c r="Z10" s="18">
        <f>'[3]Liver - GC Results (nmol g)'!Z10/1000</f>
        <v>1.49149E-2</v>
      </c>
      <c r="AA10" s="18">
        <f>'[3]Liver - GC Results (nmol g)'!AA10/1000</f>
        <v>2.080359502807751E-2</v>
      </c>
      <c r="AB10" s="18">
        <f>'[3]Liver - GC Results (nmol g)'!AB10/1000</f>
        <v>2.5331631641283552E-3</v>
      </c>
      <c r="AC10" s="18">
        <f>'[3]Liver - GC Results (nmol g)'!AC10/1000</f>
        <v>6.2911400000000006E-3</v>
      </c>
      <c r="AD10" s="18">
        <f>'[3]Liver - GC Results (nmol g)'!AD10/1000</f>
        <v>2.6328345213392826E-3</v>
      </c>
      <c r="AE10" s="18">
        <f>'[3]Liver - GC Results (nmol g)'!AE10/1000</f>
        <v>1.6767202036249585E-2</v>
      </c>
      <c r="AF10" s="18">
        <f>'[3]Liver - GC Results (nmol g)'!AF10/1000</f>
        <v>8.5366437825057529E-3</v>
      </c>
      <c r="AG10" s="18">
        <f>'[3]Liver - GC Results (nmol g)'!AG10/1000</f>
        <v>3.4531516300467774E-2</v>
      </c>
      <c r="AH10" s="18">
        <f>'[3]Liver - GC Results (nmol g)'!AH10/1000</f>
        <v>1.9667399798132947E-2</v>
      </c>
    </row>
    <row r="11" spans="1:34" x14ac:dyDescent="0.2">
      <c r="A11" t="s">
        <v>40</v>
      </c>
      <c r="C11" s="18">
        <f>'[3]Liver - GC Results (nmol g)'!C11/1000</f>
        <v>2.0567099058502555E-2</v>
      </c>
      <c r="D11" s="18">
        <f>'[3]Liver - GC Results (nmol g)'!D11/1000</f>
        <v>2.467237006421567E-2</v>
      </c>
      <c r="E11" s="18">
        <f>'[3]Liver - GC Results (nmol g)'!E11/1000</f>
        <v>2.0908221001791436E-2</v>
      </c>
      <c r="F11" s="18"/>
      <c r="G11" s="18">
        <f>'[3]Liver - GC Results (nmol g)'!G11/1000</f>
        <v>2.2611453440628336E-2</v>
      </c>
      <c r="H11" s="18">
        <f>'[3]Liver - GC Results (nmol g)'!H11/1000</f>
        <v>2.3330133096741201E-2</v>
      </c>
      <c r="I11" s="18">
        <f>'[3]Liver - GC Results (nmol g)'!I11/1000</f>
        <v>2.3490211162951337E-2</v>
      </c>
      <c r="J11" s="18">
        <f>'[3]Liver - GC Results (nmol g)'!J11/1000</f>
        <v>1.4153661237576543E-2</v>
      </c>
      <c r="K11" s="18">
        <f>'[3]Liver - GC Results (nmol g)'!K11/1000</f>
        <v>2.5277767599137458E-2</v>
      </c>
      <c r="L11" s="18">
        <f>'[3]Liver - GC Results (nmol g)'!L11/1000</f>
        <v>1.8159801369533983E-2</v>
      </c>
      <c r="M11" s="18"/>
      <c r="N11" s="18">
        <f>'[3]Liver - GC Results (nmol g)'!N11/1000</f>
        <v>3.1711293398056298E-2</v>
      </c>
      <c r="O11" s="18">
        <f>'[3]Liver - GC Results (nmol g)'!O11/1000</f>
        <v>2.750274774043512E-2</v>
      </c>
      <c r="P11" s="18">
        <f>'[3]Liver - GC Results (nmol g)'!P11/1000</f>
        <v>2.6270135799781397E-2</v>
      </c>
      <c r="Q11" s="18">
        <f>'[3]Liver - GC Results (nmol g)'!Q11/1000</f>
        <v>2.2687054517180248E-2</v>
      </c>
      <c r="R11" s="18">
        <f>'[3]Liver - GC Results (nmol g)'!R11/1000</f>
        <v>1.9374203109401873E-2</v>
      </c>
      <c r="S11" s="18">
        <f>'[3]Liver - GC Results (nmol g)'!S11/1000</f>
        <v>1.9951306119183505E-2</v>
      </c>
      <c r="T11" s="18">
        <f>'[3]Liver - GC Results (nmol g)'!T11/1000</f>
        <v>2.7643436405335786E-2</v>
      </c>
      <c r="U11" s="18">
        <f>'[3]Liver - GC Results (nmol g)'!U11/1000</f>
        <v>2.6478815191872035E-2</v>
      </c>
      <c r="V11" s="18">
        <f>'[3]Liver - GC Results (nmol g)'!V11/1000</f>
        <v>1.7915197475541583E-2</v>
      </c>
      <c r="W11" s="18">
        <f>'[3]Liver - GC Results (nmol g)'!W11/1000</f>
        <v>2.3832714531975205E-2</v>
      </c>
      <c r="X11" s="18"/>
      <c r="Y11" s="18">
        <f>'[3]Liver - GC Results (nmol g)'!Y11/1000</f>
        <v>2.1813399343847989E-2</v>
      </c>
      <c r="Z11" s="18">
        <f>'[3]Liver - GC Results (nmol g)'!Z11/1000</f>
        <v>2.2703157501228251E-2</v>
      </c>
      <c r="AA11" s="18">
        <f>'[3]Liver - GC Results (nmol g)'!AA11/1000</f>
        <v>2.2924818010569861E-2</v>
      </c>
      <c r="AB11" s="18">
        <f>'[3]Liver - GC Results (nmol g)'!AB11/1000</f>
        <v>2.3651126660155449E-2</v>
      </c>
      <c r="AC11" s="18">
        <f>'[3]Liver - GC Results (nmol g)'!AC11/1000</f>
        <v>1.9875020380012948E-2</v>
      </c>
      <c r="AD11" s="18">
        <f>'[3]Liver - GC Results (nmol g)'!AD11/1000</f>
        <v>1.9994185974247292E-2</v>
      </c>
      <c r="AE11" s="18">
        <f>'[3]Liver - GC Results (nmol g)'!AE11/1000</f>
        <v>2.4092333790741927E-2</v>
      </c>
      <c r="AF11" s="18">
        <f>'[3]Liver - GC Results (nmol g)'!AF11/1000</f>
        <v>2.4205162855919411E-2</v>
      </c>
      <c r="AG11" s="18">
        <f>'[3]Liver - GC Results (nmol g)'!AG11/1000</f>
        <v>2.46069838336095E-2</v>
      </c>
      <c r="AH11" s="18">
        <f>'[3]Liver - GC Results (nmol g)'!AH11/1000</f>
        <v>2.1002032837902279E-2</v>
      </c>
    </row>
    <row r="12" spans="1:34" x14ac:dyDescent="0.2">
      <c r="A12" t="s">
        <v>41</v>
      </c>
      <c r="C12" s="18">
        <f>'[3]Liver - GC Results (nmol g)'!C12/1000</f>
        <v>6.5424931091533139E-3</v>
      </c>
      <c r="D12" s="18">
        <f>'[3]Liver - GC Results (nmol g)'!D12/1000</f>
        <v>6.3901254464104502E-3</v>
      </c>
      <c r="E12" s="18">
        <f>'[3]Liver - GC Results (nmol g)'!E12/1000</f>
        <v>5.2575547307769799E-3</v>
      </c>
      <c r="F12" s="18"/>
      <c r="G12" s="18">
        <f>'[3]Liver - GC Results (nmol g)'!G12/1000</f>
        <v>6.4326413918786886E-3</v>
      </c>
      <c r="H12" s="18">
        <f>'[3]Liver - GC Results (nmol g)'!H12/1000</f>
        <v>5.8798271528503034E-3</v>
      </c>
      <c r="I12" s="18">
        <f>'[3]Liver - GC Results (nmol g)'!I12/1000</f>
        <v>5.5839250889461569E-3</v>
      </c>
      <c r="J12" s="18">
        <f>'[3]Liver - GC Results (nmol g)'!J12/1000</f>
        <v>6.7880005995610915E-3</v>
      </c>
      <c r="K12" s="18">
        <f>'[3]Liver - GC Results (nmol g)'!K12/1000</f>
        <v>7.6459546523600756E-3</v>
      </c>
      <c r="L12" s="18">
        <f>'[3]Liver - GC Results (nmol g)'!L12/1000</f>
        <v>6.2206534257380494E-3</v>
      </c>
      <c r="M12" s="18"/>
      <c r="N12" s="18">
        <f>'[3]Liver - GC Results (nmol g)'!N12/1000</f>
        <v>7.8487112609799715E-3</v>
      </c>
      <c r="O12" s="18">
        <f>'[3]Liver - GC Results (nmol g)'!O12/1000</f>
        <v>9.1227354153350475E-3</v>
      </c>
      <c r="P12" s="18">
        <f>'[3]Liver - GC Results (nmol g)'!P12/1000</f>
        <v>6.2755763906055737E-3</v>
      </c>
      <c r="Q12" s="18">
        <f>'[3]Liver - GC Results (nmol g)'!Q12/1000</f>
        <v>6.9070027782109243E-3</v>
      </c>
      <c r="R12" s="18">
        <f>'[3]Liver - GC Results (nmol g)'!R12/1000</f>
        <v>3.7659229788377176E-3</v>
      </c>
      <c r="S12" s="18">
        <f>'[3]Liver - GC Results (nmol g)'!S12/1000</f>
        <v>6.7342328945908195E-3</v>
      </c>
      <c r="T12" s="18">
        <f>'[3]Liver - GC Results (nmol g)'!T12/1000</f>
        <v>7.3459655854129511E-3</v>
      </c>
      <c r="U12" s="18">
        <f>'[3]Liver - GC Results (nmol g)'!U12/1000</f>
        <v>6.9681415284864687E-3</v>
      </c>
      <c r="V12" s="18">
        <f>'[3]Liver - GC Results (nmol g)'!V12/1000</f>
        <v>8.4557200249286719E-3</v>
      </c>
      <c r="W12" s="18">
        <f>'[3]Liver - GC Results (nmol g)'!W12/1000</f>
        <v>9.6868777451528977E-3</v>
      </c>
      <c r="X12" s="18"/>
      <c r="Y12" s="18">
        <f>'[3]Liver - GC Results (nmol g)'!Y12/1000</f>
        <v>4.7528962306258452E-3</v>
      </c>
      <c r="Z12" s="18">
        <f>'[3]Liver - GC Results (nmol g)'!Z12/1000</f>
        <v>6.3721933433119413E-3</v>
      </c>
      <c r="AA12" s="18">
        <f>'[3]Liver - GC Results (nmol g)'!AA12/1000</f>
        <v>6.327251804382217E-3</v>
      </c>
      <c r="AB12" s="18">
        <f>'[3]Liver - GC Results (nmol g)'!AB12/1000</f>
        <v>1.252870309684706E-2</v>
      </c>
      <c r="AC12" s="18">
        <f>'[3]Liver - GC Results (nmol g)'!AC12/1000</f>
        <v>6.7981005799090987E-3</v>
      </c>
      <c r="AD12" s="18">
        <f>'[3]Liver - GC Results (nmol g)'!AD12/1000</f>
        <v>9.5118539577337038E-3</v>
      </c>
      <c r="AE12" s="18">
        <f>'[3]Liver - GC Results (nmol g)'!AE12/1000</f>
        <v>8.0375908090840106E-3</v>
      </c>
      <c r="AF12" s="18">
        <f>'[3]Liver - GC Results (nmol g)'!AF12/1000</f>
        <v>6.6038450141710616E-3</v>
      </c>
      <c r="AG12" s="18">
        <f>'[3]Liver - GC Results (nmol g)'!AG12/1000</f>
        <v>8.6619019649131473E-3</v>
      </c>
      <c r="AH12" s="18">
        <f>'[3]Liver - GC Results (nmol g)'!AH12/1000</f>
        <v>6.7817496282963135E-3</v>
      </c>
    </row>
    <row r="13" spans="1:34" x14ac:dyDescent="0.2">
      <c r="A13" t="s">
        <v>42</v>
      </c>
      <c r="C13" s="18">
        <f>'[3]Liver - GC Results (nmol g)'!C13/1000</f>
        <v>9.633258444752392E-2</v>
      </c>
      <c r="D13" s="18">
        <f>'[3]Liver - GC Results (nmol g)'!D13/1000</f>
        <v>0.11373088828240178</v>
      </c>
      <c r="E13" s="18">
        <f>'[3]Liver - GC Results (nmol g)'!E13/1000</f>
        <v>0.12458167869070542</v>
      </c>
      <c r="F13" s="18"/>
      <c r="G13" s="18">
        <f>'[3]Liver - GC Results (nmol g)'!G13/1000</f>
        <v>0.11116698540301305</v>
      </c>
      <c r="H13" s="18">
        <f>'[3]Liver - GC Results (nmol g)'!H13/1000</f>
        <v>0.1061285502208858</v>
      </c>
      <c r="I13" s="18">
        <f>'[3]Liver - GC Results (nmol g)'!I13/1000</f>
        <v>0.12087401296800927</v>
      </c>
      <c r="J13" s="18">
        <f>'[3]Liver - GC Results (nmol g)'!J13/1000</f>
        <v>5.1779952854791096E-2</v>
      </c>
      <c r="K13" s="18">
        <f>'[3]Liver - GC Results (nmol g)'!K13/1000</f>
        <v>0.10143571509604694</v>
      </c>
      <c r="L13" s="18">
        <f>'[3]Liver - GC Results (nmol g)'!L13/1000</f>
        <v>7.3837644067186708E-2</v>
      </c>
      <c r="M13" s="18"/>
      <c r="N13" s="18">
        <f>'[3]Liver - GC Results (nmol g)'!N13/1000</f>
        <v>0.18385372318127088</v>
      </c>
      <c r="O13" s="18">
        <f>'[3]Liver - GC Results (nmol g)'!O13/1000</f>
        <v>0.19717448599582407</v>
      </c>
      <c r="P13" s="18">
        <f>'[3]Liver - GC Results (nmol g)'!P13/1000</f>
        <v>0.22931330424725371</v>
      </c>
      <c r="Q13" s="18">
        <f>'[3]Liver - GC Results (nmol g)'!Q13/1000</f>
        <v>0.1464073208835236</v>
      </c>
      <c r="R13" s="18">
        <f>'[3]Liver - GC Results (nmol g)'!R13/1000</f>
        <v>0.17605243712719679</v>
      </c>
      <c r="S13" s="18">
        <f>'[3]Liver - GC Results (nmol g)'!S13/1000</f>
        <v>0.10807581118405196</v>
      </c>
      <c r="T13" s="18">
        <f>'[3]Liver - GC Results (nmol g)'!T13/1000</f>
        <v>0.14325887797188722</v>
      </c>
      <c r="U13" s="18">
        <f>'[3]Liver - GC Results (nmol g)'!U13/1000</f>
        <v>0.16852387035445124</v>
      </c>
      <c r="V13" s="18">
        <f>'[3]Liver - GC Results (nmol g)'!V13/1000</f>
        <v>0.13562717782256892</v>
      </c>
      <c r="W13" s="18">
        <f>'[3]Liver - GC Results (nmol g)'!W13/1000</f>
        <v>0.1478205844673347</v>
      </c>
      <c r="X13" s="18"/>
      <c r="Y13" s="18">
        <f>'[3]Liver - GC Results (nmol g)'!Y13/1000</f>
        <v>0.1656448607241546</v>
      </c>
      <c r="Z13" s="18">
        <f>'[3]Liver - GC Results (nmol g)'!Z13/1000</f>
        <v>0.1912173638849545</v>
      </c>
      <c r="AA13" s="18">
        <f>'[3]Liver - GC Results (nmol g)'!AA13/1000</f>
        <v>0.15003391736434804</v>
      </c>
      <c r="AB13" s="18">
        <f>'[3]Liver - GC Results (nmol g)'!AB13/1000</f>
        <v>0.15481897616617027</v>
      </c>
      <c r="AC13" s="18">
        <f>'[3]Liver - GC Results (nmol g)'!AC13/1000</f>
        <v>0.13880630993893353</v>
      </c>
      <c r="AD13" s="18">
        <f>'[3]Liver - GC Results (nmol g)'!AD13/1000</f>
        <v>0.12138446970762809</v>
      </c>
      <c r="AE13" s="18">
        <f>'[3]Liver - GC Results (nmol g)'!AE13/1000</f>
        <v>0.17570478196573544</v>
      </c>
      <c r="AF13" s="18">
        <f>'[3]Liver - GC Results (nmol g)'!AF13/1000</f>
        <v>0.15516549515356665</v>
      </c>
      <c r="AG13" s="18">
        <f>'[3]Liver - GC Results (nmol g)'!AG13/1000</f>
        <v>0.20707260068590561</v>
      </c>
      <c r="AH13" s="18">
        <f>'[3]Liver - GC Results (nmol g)'!AH13/1000</f>
        <v>0.12316310439155972</v>
      </c>
    </row>
    <row r="14" spans="1:34" x14ac:dyDescent="0.2">
      <c r="A14" t="s">
        <v>43</v>
      </c>
      <c r="C14" s="18">
        <f>'[3]Liver - GC Results (nmol g)'!C14/1000</f>
        <v>1.3902540174416394E-2</v>
      </c>
      <c r="D14" s="18">
        <f>'[3]Liver - GC Results (nmol g)'!D14/1000</f>
        <v>1.5747945262012574E-2</v>
      </c>
      <c r="E14" s="18">
        <f>'[3]Liver - GC Results (nmol g)'!E14/1000</f>
        <v>8.6145441411339674E-3</v>
      </c>
      <c r="F14" s="18"/>
      <c r="G14" s="18">
        <f>'[3]Liver - GC Results (nmol g)'!G14/1000</f>
        <v>2.9314102777355681E-2</v>
      </c>
      <c r="H14" s="18">
        <f>'[3]Liver - GC Results (nmol g)'!H14/1000</f>
        <v>4.8390872923800149E-2</v>
      </c>
      <c r="I14" s="18">
        <f>'[3]Liver - GC Results (nmol g)'!I14/1000</f>
        <v>3.9816917692030177E-2</v>
      </c>
      <c r="J14" s="18">
        <f>'[3]Liver - GC Results (nmol g)'!J14/1000</f>
        <v>7.5304799011000206E-2</v>
      </c>
      <c r="K14" s="18">
        <f>'[3]Liver - GC Results (nmol g)'!K14/1000</f>
        <v>7.5517482339282044E-2</v>
      </c>
      <c r="L14" s="18">
        <f>'[3]Liver - GC Results (nmol g)'!L14/1000</f>
        <v>4.7387427668400511E-2</v>
      </c>
      <c r="M14" s="18"/>
      <c r="N14" s="18">
        <f>'[3]Liver - GC Results (nmol g)'!N14/1000</f>
        <v>3.1485802801703586E-2</v>
      </c>
      <c r="O14" s="18">
        <f>'[3]Liver - GC Results (nmol g)'!O14/1000</f>
        <v>6.3429505654659019E-2</v>
      </c>
      <c r="P14" s="18">
        <f>'[3]Liver - GC Results (nmol g)'!P14/1000</f>
        <v>3.7704164066575313E-2</v>
      </c>
      <c r="Q14" s="18">
        <f>'[3]Liver - GC Results (nmol g)'!Q14/1000</f>
        <v>1.7773802852217569E-2</v>
      </c>
      <c r="R14" s="18">
        <f>'[3]Liver - GC Results (nmol g)'!R14/1000</f>
        <v>1.4981375593719103E-2</v>
      </c>
      <c r="S14" s="18">
        <f>'[3]Liver - GC Results (nmol g)'!S14/1000</f>
        <v>1.3694738184780874E-2</v>
      </c>
      <c r="T14" s="18">
        <f>'[3]Liver - GC Results (nmol g)'!T14/1000</f>
        <v>2.7031550840315777E-2</v>
      </c>
      <c r="U14" s="18">
        <f>'[3]Liver - GC Results (nmol g)'!U14/1000</f>
        <v>1.5076446851512678E-2</v>
      </c>
      <c r="V14" s="18">
        <f>'[3]Liver - GC Results (nmol g)'!V14/1000</f>
        <v>1.8808427886449146E-2</v>
      </c>
      <c r="W14" s="18">
        <f>'[3]Liver - GC Results (nmol g)'!W14/1000</f>
        <v>2.4983338295950952E-2</v>
      </c>
      <c r="X14" s="18"/>
      <c r="Y14" s="18">
        <f>'[3]Liver - GC Results (nmol g)'!Y14/1000</f>
        <v>1.9420528591933141E-2</v>
      </c>
      <c r="Z14" s="18">
        <f>'[3]Liver - GC Results (nmol g)'!Z14/1000</f>
        <v>1.6457125016909081E-2</v>
      </c>
      <c r="AA14" s="18">
        <f>'[3]Liver - GC Results (nmol g)'!AA14/1000</f>
        <v>3.1990637198987273E-2</v>
      </c>
      <c r="AB14" s="18">
        <f>'[3]Liver - GC Results (nmol g)'!AB14/1000</f>
        <v>1.4645222094695758E-2</v>
      </c>
      <c r="AC14" s="18">
        <f>'[3]Liver - GC Results (nmol g)'!AC14/1000</f>
        <v>1.4919233573626298E-2</v>
      </c>
      <c r="AD14" s="18">
        <f>'[3]Liver - GC Results (nmol g)'!AD14/1000</f>
        <v>1.3560041628644744E-2</v>
      </c>
      <c r="AE14" s="18">
        <f>'[3]Liver - GC Results (nmol g)'!AE14/1000</f>
        <v>2.6743439953233923E-2</v>
      </c>
      <c r="AF14" s="18">
        <f>'[3]Liver - GC Results (nmol g)'!AF14/1000</f>
        <v>2.2214991435779909E-2</v>
      </c>
      <c r="AG14" s="18">
        <f>'[3]Liver - GC Results (nmol g)'!AG14/1000</f>
        <v>4.5194895919866002E-2</v>
      </c>
      <c r="AH14" s="18">
        <f>'[3]Liver - GC Results (nmol g)'!AH14/1000</f>
        <v>1.7699075632039634E-2</v>
      </c>
    </row>
    <row r="15" spans="1:34" x14ac:dyDescent="0.2">
      <c r="A15" t="s">
        <v>44</v>
      </c>
      <c r="C15" s="18">
        <f>'[3]Liver - GC Results (nmol g)'!C15/1000</f>
        <v>3.8511735721612553E-2</v>
      </c>
      <c r="D15" s="18">
        <f>'[3]Liver - GC Results (nmol g)'!D15/1000</f>
        <v>4.9781711845518078E-2</v>
      </c>
      <c r="E15" s="18">
        <f>'[3]Liver - GC Results (nmol g)'!E15/1000</f>
        <v>4.9055682392010989E-2</v>
      </c>
      <c r="F15" s="18"/>
      <c r="G15" s="18">
        <f>'[3]Liver - GC Results (nmol g)'!G15/1000</f>
        <v>4.8582210694047126E-2</v>
      </c>
      <c r="H15" s="18">
        <f>'[3]Liver - GC Results (nmol g)'!H15/1000</f>
        <v>5.2269067676032552E-2</v>
      </c>
      <c r="I15" s="18">
        <f>'[3]Liver - GC Results (nmol g)'!I15/1000</f>
        <v>3.8666776229138736E-2</v>
      </c>
      <c r="J15" s="18">
        <f>'[3]Liver - GC Results (nmol g)'!J15/1000</f>
        <v>3.9075760161227283E-2</v>
      </c>
      <c r="K15" s="18">
        <f>'[3]Liver - GC Results (nmol g)'!K15/1000</f>
        <v>4.8345889775666319E-2</v>
      </c>
      <c r="L15" s="18">
        <f>'[3]Liver - GC Results (nmol g)'!L15/1000</f>
        <v>2.4130742597723132E-2</v>
      </c>
      <c r="M15" s="18"/>
      <c r="N15" s="18">
        <f>'[3]Liver - GC Results (nmol g)'!N15/1000</f>
        <v>9.3253998765866139E-2</v>
      </c>
      <c r="O15" s="18">
        <f>'[3]Liver - GC Results (nmol g)'!O15/1000</f>
        <v>7.1375970911325595E-2</v>
      </c>
      <c r="P15" s="18">
        <f>'[3]Liver - GC Results (nmol g)'!P15/1000</f>
        <v>8.5530935368674649E-2</v>
      </c>
      <c r="Q15" s="18">
        <f>'[3]Liver - GC Results (nmol g)'!Q15/1000</f>
        <v>5.2560776612750992E-2</v>
      </c>
      <c r="R15" s="18">
        <f>'[3]Liver - GC Results (nmol g)'!R15/1000</f>
        <v>5.8161171444368824E-2</v>
      </c>
      <c r="S15" s="18">
        <f>'[3]Liver - GC Results (nmol g)'!S15/1000</f>
        <v>5.4132910010185366E-2</v>
      </c>
      <c r="T15" s="18">
        <f>'[3]Liver - GC Results (nmol g)'!T15/1000</f>
        <v>6.363309014875658E-2</v>
      </c>
      <c r="U15" s="18">
        <f>'[3]Liver - GC Results (nmol g)'!U15/1000</f>
        <v>5.9961942879225218E-2</v>
      </c>
      <c r="V15" s="18">
        <f>'[3]Liver - GC Results (nmol g)'!V15/1000</f>
        <v>5.4890810290812546E-2</v>
      </c>
      <c r="W15" s="18">
        <f>'[3]Liver - GC Results (nmol g)'!W15/1000</f>
        <v>5.6426114335071116E-2</v>
      </c>
      <c r="X15" s="18"/>
      <c r="Y15" s="18">
        <f>'[3]Liver - GC Results (nmol g)'!Y15/1000</f>
        <v>6.7235101474951792E-2</v>
      </c>
      <c r="Z15" s="18">
        <f>'[3]Liver - GC Results (nmol g)'!Z15/1000</f>
        <v>6.7314708716416968E-2</v>
      </c>
      <c r="AA15" s="18">
        <f>'[3]Liver - GC Results (nmol g)'!AA15/1000</f>
        <v>4.6414297429601029E-2</v>
      </c>
      <c r="AB15" s="18">
        <f>'[3]Liver - GC Results (nmol g)'!AB15/1000</f>
        <v>4.7858690934795049E-2</v>
      </c>
      <c r="AC15" s="18">
        <f>'[3]Liver - GC Results (nmol g)'!AC15/1000</f>
        <v>3.8687798201958869E-2</v>
      </c>
      <c r="AD15" s="18">
        <f>'[3]Liver - GC Results (nmol g)'!AD15/1000</f>
        <v>5.1360165743318108E-2</v>
      </c>
      <c r="AE15" s="18">
        <f>'[3]Liver - GC Results (nmol g)'!AE15/1000</f>
        <v>5.8306230560400782E-2</v>
      </c>
      <c r="AF15" s="18">
        <f>'[3]Liver - GC Results (nmol g)'!AF15/1000</f>
        <v>4.1813665338483512E-2</v>
      </c>
      <c r="AG15" s="18">
        <f>'[3]Liver - GC Results (nmol g)'!AG15/1000</f>
        <v>5.3037020619748097E-2</v>
      </c>
      <c r="AH15" s="18">
        <f>'[3]Liver - GC Results (nmol g)'!AH15/1000</f>
        <v>7.4210004299236465E-2</v>
      </c>
    </row>
    <row r="16" spans="1:34" x14ac:dyDescent="0.2">
      <c r="A16" t="s">
        <v>45</v>
      </c>
      <c r="C16" s="18">
        <f>'[3]Liver - GC Results (nmol g)'!C16/1000</f>
        <v>0</v>
      </c>
      <c r="D16" s="18">
        <f>'[3]Liver - GC Results (nmol g)'!D16/1000</f>
        <v>0</v>
      </c>
      <c r="E16" s="18">
        <f>'[3]Liver - GC Results (nmol g)'!E16/1000</f>
        <v>0</v>
      </c>
      <c r="F16" s="18"/>
      <c r="G16" s="18">
        <f>'[3]Liver - GC Results (nmol g)'!G16/1000</f>
        <v>0</v>
      </c>
      <c r="H16" s="18">
        <f>'[3]Liver - GC Results (nmol g)'!H16/1000</f>
        <v>0</v>
      </c>
      <c r="I16" s="18">
        <f>'[3]Liver - GC Results (nmol g)'!I16/1000</f>
        <v>0</v>
      </c>
      <c r="J16" s="18">
        <f>'[3]Liver - GC Results (nmol g)'!J16/1000</f>
        <v>0</v>
      </c>
      <c r="K16" s="18">
        <f>'[3]Liver - GC Results (nmol g)'!K16/1000</f>
        <v>0</v>
      </c>
      <c r="L16" s="18">
        <f>'[3]Liver - GC Results (nmol g)'!L16/1000</f>
        <v>0</v>
      </c>
      <c r="M16" s="18"/>
      <c r="N16" s="18">
        <f>'[3]Liver - GC Results (nmol g)'!N16/1000</f>
        <v>0</v>
      </c>
      <c r="O16" s="18">
        <f>'[3]Liver - GC Results (nmol g)'!O16/1000</f>
        <v>0</v>
      </c>
      <c r="P16" s="18">
        <f>'[3]Liver - GC Results (nmol g)'!P16/1000</f>
        <v>0</v>
      </c>
      <c r="Q16" s="18">
        <f>'[3]Liver - GC Results (nmol g)'!Q16/1000</f>
        <v>0</v>
      </c>
      <c r="R16" s="18">
        <f>'[3]Liver - GC Results (nmol g)'!R16/1000</f>
        <v>0</v>
      </c>
      <c r="S16" s="18">
        <f>'[3]Liver - GC Results (nmol g)'!S16/1000</f>
        <v>0</v>
      </c>
      <c r="T16" s="18">
        <f>'[3]Liver - GC Results (nmol g)'!T16/1000</f>
        <v>0</v>
      </c>
      <c r="U16" s="18">
        <f>'[3]Liver - GC Results (nmol g)'!U16/1000</f>
        <v>0</v>
      </c>
      <c r="V16" s="18">
        <f>'[3]Liver - GC Results (nmol g)'!V16/1000</f>
        <v>0</v>
      </c>
      <c r="W16" s="18">
        <f>'[3]Liver - GC Results (nmol g)'!W16/1000</f>
        <v>0</v>
      </c>
      <c r="X16" s="18"/>
      <c r="Y16" s="18">
        <f>'[3]Liver - GC Results (nmol g)'!Y16/1000</f>
        <v>0</v>
      </c>
      <c r="Z16" s="18">
        <f>'[3]Liver - GC Results (nmol g)'!Z16/1000</f>
        <v>0</v>
      </c>
      <c r="AA16" s="18">
        <f>'[3]Liver - GC Results (nmol g)'!AA16/1000</f>
        <v>0</v>
      </c>
      <c r="AB16" s="18">
        <f>'[3]Liver - GC Results (nmol g)'!AB16/1000</f>
        <v>0</v>
      </c>
      <c r="AC16" s="18">
        <f>'[3]Liver - GC Results (nmol g)'!AC16/1000</f>
        <v>0</v>
      </c>
      <c r="AD16" s="18">
        <f>'[3]Liver - GC Results (nmol g)'!AD16/1000</f>
        <v>0</v>
      </c>
      <c r="AE16" s="18">
        <f>'[3]Liver - GC Results (nmol g)'!AE16/1000</f>
        <v>0</v>
      </c>
      <c r="AF16" s="18">
        <f>'[3]Liver - GC Results (nmol g)'!AF16/1000</f>
        <v>0</v>
      </c>
      <c r="AG16" s="18">
        <f>'[3]Liver - GC Results (nmol g)'!AG16/1000</f>
        <v>0</v>
      </c>
      <c r="AH16" s="18">
        <f>'[3]Liver - GC Results (nmol g)'!AH16/1000</f>
        <v>0</v>
      </c>
    </row>
    <row r="17" spans="1:34" x14ac:dyDescent="0.2">
      <c r="A17" t="s">
        <v>46</v>
      </c>
      <c r="C17" s="18">
        <f>'[3]Liver - GC Results (nmol g)'!C17/1000</f>
        <v>5.8836669161595273E-2</v>
      </c>
      <c r="D17" s="18">
        <f>'[3]Liver - GC Results (nmol g)'!D17/1000</f>
        <v>6.178268408839864E-2</v>
      </c>
      <c r="E17" s="18">
        <f>'[3]Liver - GC Results (nmol g)'!E17/1000</f>
        <v>5.9504755476986082E-2</v>
      </c>
      <c r="F17" s="18"/>
      <c r="G17" s="18">
        <f>'[3]Liver - GC Results (nmol g)'!G17/1000</f>
        <v>6.8095489600463924E-2</v>
      </c>
      <c r="H17" s="18">
        <f>'[3]Liver - GC Results (nmol g)'!H17/1000</f>
        <v>6.4829657798369619E-2</v>
      </c>
      <c r="I17" s="18">
        <f>'[3]Liver - GC Results (nmol g)'!I17/1000</f>
        <v>5.9629992106646192E-2</v>
      </c>
      <c r="J17" s="18">
        <f>'[3]Liver - GC Results (nmol g)'!J17/1000</f>
        <v>7.7215244508599817E-2</v>
      </c>
      <c r="K17" s="18">
        <f>'[3]Liver - GC Results (nmol g)'!K17/1000</f>
        <v>7.784589629032948E-2</v>
      </c>
      <c r="L17" s="18">
        <f>'[3]Liver - GC Results (nmol g)'!L17/1000</f>
        <v>5.4438091185858184E-2</v>
      </c>
      <c r="M17" s="18"/>
      <c r="N17" s="18">
        <f>'[3]Liver - GC Results (nmol g)'!N17/1000</f>
        <v>8.720832504544225E-2</v>
      </c>
      <c r="O17" s="18">
        <f>'[3]Liver - GC Results (nmol g)'!O17/1000</f>
        <v>7.1917655205097131E-2</v>
      </c>
      <c r="P17" s="18">
        <f>'[3]Liver - GC Results (nmol g)'!P17/1000</f>
        <v>6.4389018978532997E-2</v>
      </c>
      <c r="Q17" s="18">
        <f>'[3]Liver - GC Results (nmol g)'!Q17/1000</f>
        <v>6.187824128796697E-2</v>
      </c>
      <c r="R17" s="18">
        <f>'[3]Liver - GC Results (nmol g)'!R17/1000</f>
        <v>5.1477103788936385E-2</v>
      </c>
      <c r="S17" s="18">
        <f>'[3]Liver - GC Results (nmol g)'!S17/1000</f>
        <v>5.4753178815091286E-2</v>
      </c>
      <c r="T17" s="18">
        <f>'[3]Liver - GC Results (nmol g)'!T17/1000</f>
        <v>6.376071351950377E-2</v>
      </c>
      <c r="U17" s="18">
        <f>'[3]Liver - GC Results (nmol g)'!U17/1000</f>
        <v>5.9011574642919423E-2</v>
      </c>
      <c r="V17" s="18">
        <f>'[3]Liver - GC Results (nmol g)'!V17/1000</f>
        <v>6.9196293389126223E-2</v>
      </c>
      <c r="W17" s="18">
        <f>'[3]Liver - GC Results (nmol g)'!W17/1000</f>
        <v>6.7283719931657368E-2</v>
      </c>
      <c r="X17" s="18"/>
      <c r="Y17" s="18">
        <f>'[3]Liver - GC Results (nmol g)'!Y17/1000</f>
        <v>5.3759209405140139E-2</v>
      </c>
      <c r="Z17" s="18">
        <f>'[3]Liver - GC Results (nmol g)'!Z17/1000</f>
        <v>6.4637788853074182E-2</v>
      </c>
      <c r="AA17" s="18">
        <f>'[3]Liver - GC Results (nmol g)'!AA17/1000</f>
        <v>5.6562853001654756E-2</v>
      </c>
      <c r="AB17" s="18">
        <f>'[3]Liver - GC Results (nmol g)'!AB17/1000</f>
        <v>6.6283816221834213E-2</v>
      </c>
      <c r="AC17" s="18">
        <f>'[3]Liver - GC Results (nmol g)'!AC17/1000</f>
        <v>5.3243275891763794E-2</v>
      </c>
      <c r="AD17" s="18">
        <f>'[3]Liver - GC Results (nmol g)'!AD17/1000</f>
        <v>5.8225459179419251E-2</v>
      </c>
      <c r="AE17" s="18">
        <f>'[3]Liver - GC Results (nmol g)'!AE17/1000</f>
        <v>5.8477365230267864E-2</v>
      </c>
      <c r="AF17" s="18">
        <f>'[3]Liver - GC Results (nmol g)'!AF17/1000</f>
        <v>5.6190937827690308E-2</v>
      </c>
      <c r="AG17" s="18">
        <f>'[3]Liver - GC Results (nmol g)'!AG17/1000</f>
        <v>5.1362611839830291E-2</v>
      </c>
      <c r="AH17" s="18">
        <f>'[3]Liver - GC Results (nmol g)'!AH17/1000</f>
        <v>5.6032195159167832E-2</v>
      </c>
    </row>
    <row r="18" spans="1:34" x14ac:dyDescent="0.2">
      <c r="A18" t="s">
        <v>47</v>
      </c>
      <c r="C18" s="18">
        <f>'[3]Liver - GC Results (nmol g)'!C18/1000</f>
        <v>1.6026161010660695E-2</v>
      </c>
      <c r="D18" s="18">
        <f>'[3]Liver - GC Results (nmol g)'!D18/1000</f>
        <v>1.7333209217722263E-2</v>
      </c>
      <c r="E18" s="18">
        <f>'[3]Liver - GC Results (nmol g)'!E18/1000</f>
        <v>1.1956036418050812E-2</v>
      </c>
      <c r="F18" s="18"/>
      <c r="G18" s="18">
        <f>'[3]Liver - GC Results (nmol g)'!G18/1000</f>
        <v>2.3705437000519695E-2</v>
      </c>
      <c r="H18" s="18">
        <f>'[3]Liver - GC Results (nmol g)'!H18/1000</f>
        <v>3.1395701968447258E-2</v>
      </c>
      <c r="I18" s="18">
        <f>'[3]Liver - GC Results (nmol g)'!I18/1000</f>
        <v>2.8995376323247359E-2</v>
      </c>
      <c r="J18" s="18">
        <f>'[3]Liver - GC Results (nmol g)'!J18/1000</f>
        <v>3.636606701937603E-2</v>
      </c>
      <c r="K18" s="18">
        <f>'[3]Liver - GC Results (nmol g)'!K18/1000</f>
        <v>4.1914618885731544E-2</v>
      </c>
      <c r="L18" s="18">
        <f>'[3]Liver - GC Results (nmol g)'!L18/1000</f>
        <v>1.7769588024424583E-2</v>
      </c>
      <c r="M18" s="18"/>
      <c r="N18" s="18">
        <f>'[3]Liver - GC Results (nmol g)'!N18/1000</f>
        <v>3.432624627077821E-2</v>
      </c>
      <c r="O18" s="18">
        <f>'[3]Liver - GC Results (nmol g)'!O18/1000</f>
        <v>3.7400915860919676E-2</v>
      </c>
      <c r="P18" s="18">
        <f>'[3]Liver - GC Results (nmol g)'!P18/1000</f>
        <v>3.1206415577171145E-2</v>
      </c>
      <c r="Q18" s="18">
        <f>'[3]Liver - GC Results (nmol g)'!Q18/1000</f>
        <v>2.4115787073548427E-2</v>
      </c>
      <c r="R18" s="18">
        <f>'[3]Liver - GC Results (nmol g)'!R18/1000</f>
        <v>1.7320906848491288E-2</v>
      </c>
      <c r="S18" s="18">
        <f>'[3]Liver - GC Results (nmol g)'!S18/1000</f>
        <v>1.7281394058886922E-2</v>
      </c>
      <c r="T18" s="18">
        <f>'[3]Liver - GC Results (nmol g)'!T18/1000</f>
        <v>2.4135820064325408E-2</v>
      </c>
      <c r="U18" s="18">
        <f>'[3]Liver - GC Results (nmol g)'!U18/1000</f>
        <v>1.6483594761318391E-2</v>
      </c>
      <c r="V18" s="18">
        <f>'[3]Liver - GC Results (nmol g)'!V18/1000</f>
        <v>1.9849583564616316E-2</v>
      </c>
      <c r="W18" s="18">
        <f>'[3]Liver - GC Results (nmol g)'!W18/1000</f>
        <v>2.741151582752771E-2</v>
      </c>
      <c r="X18" s="18"/>
      <c r="Y18" s="18">
        <f>'[3]Liver - GC Results (nmol g)'!Y18/1000</f>
        <v>2.3283611789633389E-2</v>
      </c>
      <c r="Z18" s="18">
        <f>'[3]Liver - GC Results (nmol g)'!Z18/1000</f>
        <v>1.960647512101869E-2</v>
      </c>
      <c r="AA18" s="18">
        <f>'[3]Liver - GC Results (nmol g)'!AA18/1000</f>
        <v>2.6585955775279568E-2</v>
      </c>
      <c r="AB18" s="18">
        <f>'[3]Liver - GC Results (nmol g)'!AB18/1000</f>
        <v>1.8222120680108117E-2</v>
      </c>
      <c r="AC18" s="18">
        <f>'[3]Liver - GC Results (nmol g)'!AC18/1000</f>
        <v>1.73413350502831E-2</v>
      </c>
      <c r="AD18" s="18">
        <f>'[3]Liver - GC Results (nmol g)'!AD18/1000</f>
        <v>1.129029758048888E-2</v>
      </c>
      <c r="AE18" s="18">
        <f>'[3]Liver - GC Results (nmol g)'!AE18/1000</f>
        <v>2.74128994053119E-2</v>
      </c>
      <c r="AF18" s="18">
        <f>'[3]Liver - GC Results (nmol g)'!AF18/1000</f>
        <v>2.0436674580148077E-2</v>
      </c>
      <c r="AG18" s="18">
        <f>'[3]Liver - GC Results (nmol g)'!AG18/1000</f>
        <v>3.1794135008940065E-2</v>
      </c>
      <c r="AH18" s="18">
        <f>'[3]Liver - GC Results (nmol g)'!AH18/1000</f>
        <v>2.0128514419705534E-2</v>
      </c>
    </row>
    <row r="19" spans="1:34" x14ac:dyDescent="0.2">
      <c r="A19" s="3"/>
      <c r="B19" s="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8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8"/>
    </row>
    <row r="20" spans="1:34" x14ac:dyDescent="0.2">
      <c r="A20" s="10" t="s">
        <v>48</v>
      </c>
      <c r="B20" s="3"/>
      <c r="C20" s="20">
        <f>SUM(C4:C18)</f>
        <v>0.61145519489220312</v>
      </c>
      <c r="D20" s="20">
        <f t="shared" ref="D20:AH20" si="0">SUM(D4:D18)</f>
        <v>0.67970185347295398</v>
      </c>
      <c r="E20" s="20">
        <f t="shared" si="0"/>
        <v>0.59562639425661512</v>
      </c>
      <c r="F20" s="20"/>
      <c r="G20" s="20">
        <f t="shared" si="0"/>
        <v>0.67777878358630428</v>
      </c>
      <c r="H20" s="20">
        <f t="shared" si="0"/>
        <v>0.83164861315031269</v>
      </c>
      <c r="I20" s="20">
        <f t="shared" si="0"/>
        <v>0.75057410677158276</v>
      </c>
      <c r="J20" s="20">
        <f t="shared" si="0"/>
        <v>0.83486655944985055</v>
      </c>
      <c r="K20" s="20">
        <f t="shared" si="0"/>
        <v>0.96354812333956708</v>
      </c>
      <c r="L20" s="20">
        <f t="shared" si="0"/>
        <v>0.85930604551079171</v>
      </c>
      <c r="M20" s="20"/>
      <c r="N20" s="20">
        <f t="shared" si="0"/>
        <v>0.98869913778742369</v>
      </c>
      <c r="O20" s="20">
        <f t="shared" si="0"/>
        <v>1.03463834306483</v>
      </c>
      <c r="P20" s="20">
        <f t="shared" si="0"/>
        <v>0.9461420807956572</v>
      </c>
      <c r="Q20" s="20">
        <f t="shared" si="0"/>
        <v>0.74161987735319734</v>
      </c>
      <c r="R20" s="20">
        <f t="shared" si="0"/>
        <v>0.5976038623352814</v>
      </c>
      <c r="S20" s="20">
        <f t="shared" si="0"/>
        <v>0.65459849286446681</v>
      </c>
      <c r="T20" s="20">
        <f t="shared" si="0"/>
        <v>0.79747010384291661</v>
      </c>
      <c r="U20" s="20">
        <f t="shared" si="0"/>
        <v>0.66613502373952238</v>
      </c>
      <c r="V20" s="20">
        <f t="shared" si="0"/>
        <v>0.87868499390243127</v>
      </c>
      <c r="W20" s="20">
        <f t="shared" si="0"/>
        <v>0.85734422942565902</v>
      </c>
      <c r="X20" s="20"/>
      <c r="Y20" s="20">
        <f t="shared" si="0"/>
        <v>0.66341794314873193</v>
      </c>
      <c r="Z20" s="20">
        <f t="shared" si="0"/>
        <v>0.7881200775375018</v>
      </c>
      <c r="AA20" s="20">
        <f t="shared" si="0"/>
        <v>0.92655621702876456</v>
      </c>
      <c r="AB20" s="20">
        <f t="shared" si="0"/>
        <v>0.81641421543315906</v>
      </c>
      <c r="AC20" s="20">
        <f t="shared" si="0"/>
        <v>0.59810160526808909</v>
      </c>
      <c r="AD20" s="20">
        <f t="shared" si="0"/>
        <v>0.64769605005784203</v>
      </c>
      <c r="AE20" s="20">
        <f t="shared" si="0"/>
        <v>0.85948796118274828</v>
      </c>
      <c r="AF20" s="20">
        <f t="shared" si="0"/>
        <v>0.73191071223389048</v>
      </c>
      <c r="AG20" s="20">
        <f t="shared" si="0"/>
        <v>0.91044371169854743</v>
      </c>
      <c r="AH20" s="20">
        <f t="shared" si="0"/>
        <v>0.75662032398220969</v>
      </c>
    </row>
    <row r="21" spans="1:34" x14ac:dyDescent="0.2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4" spans="1:34" ht="16" x14ac:dyDescent="0.2">
      <c r="A24" s="2" t="s">
        <v>49</v>
      </c>
      <c r="B24" s="3"/>
    </row>
    <row r="25" spans="1:34" x14ac:dyDescent="0.2">
      <c r="A25" s="4" t="s">
        <v>2</v>
      </c>
      <c r="C25" s="7" t="s">
        <v>84</v>
      </c>
      <c r="D25" s="7" t="s">
        <v>85</v>
      </c>
      <c r="E25" s="7" t="s">
        <v>86</v>
      </c>
      <c r="F25" s="7" t="s">
        <v>87</v>
      </c>
      <c r="G25" s="7" t="s">
        <v>88</v>
      </c>
      <c r="H25" s="7" t="s">
        <v>89</v>
      </c>
      <c r="I25" s="7" t="s">
        <v>90</v>
      </c>
      <c r="J25" s="7"/>
      <c r="K25" s="7" t="s">
        <v>92</v>
      </c>
      <c r="L25" s="7" t="s">
        <v>93</v>
      </c>
      <c r="M25" s="19"/>
      <c r="N25" s="7" t="s">
        <v>94</v>
      </c>
      <c r="O25" s="7" t="s">
        <v>95</v>
      </c>
      <c r="P25" s="7" t="s">
        <v>96</v>
      </c>
      <c r="Q25" s="7" t="s">
        <v>97</v>
      </c>
      <c r="R25" s="7" t="s">
        <v>98</v>
      </c>
      <c r="S25" s="7" t="s">
        <v>99</v>
      </c>
      <c r="T25" s="7" t="s">
        <v>100</v>
      </c>
      <c r="U25" s="7" t="s">
        <v>101</v>
      </c>
      <c r="V25" s="7" t="s">
        <v>102</v>
      </c>
      <c r="W25" s="7" t="s">
        <v>103</v>
      </c>
      <c r="X25" s="19"/>
      <c r="Y25" s="7"/>
      <c r="Z25" s="7" t="s">
        <v>105</v>
      </c>
      <c r="AA25" s="7" t="s">
        <v>106</v>
      </c>
      <c r="AB25" s="7" t="s">
        <v>107</v>
      </c>
      <c r="AC25" s="7" t="s">
        <v>108</v>
      </c>
      <c r="AD25" s="7" t="s">
        <v>109</v>
      </c>
      <c r="AE25" s="7" t="s">
        <v>110</v>
      </c>
      <c r="AF25" s="7" t="s">
        <v>111</v>
      </c>
      <c r="AG25" s="7" t="s">
        <v>112</v>
      </c>
      <c r="AH25" s="7" t="s">
        <v>113</v>
      </c>
    </row>
    <row r="26" spans="1:34" x14ac:dyDescent="0.2">
      <c r="A26" t="s">
        <v>33</v>
      </c>
      <c r="C26" s="18">
        <f>'[3]Liver - GC Results (nmol g)'!C26/1000</f>
        <v>0.16640033396729056</v>
      </c>
      <c r="D26" s="18">
        <f>'[3]Liver - GC Results (nmol g)'!D26/1000</f>
        <v>0.19055609157412948</v>
      </c>
      <c r="E26" s="18">
        <f>'[3]Liver - GC Results (nmol g)'!E26/1000</f>
        <v>0.17284454540793043</v>
      </c>
      <c r="F26" s="18">
        <f>'[3]Liver - GC Results (nmol g)'!F26/1000</f>
        <v>0.38604153921054596</v>
      </c>
      <c r="G26" s="18">
        <f>'[3]Liver - GC Results (nmol g)'!G26/1000</f>
        <v>0.17498719741726534</v>
      </c>
      <c r="H26" s="18">
        <f>'[3]Liver - GC Results (nmol g)'!H26/1000</f>
        <v>7.5292928765348169E-2</v>
      </c>
      <c r="I26" s="18">
        <f>'[3]Liver - GC Results (nmol g)'!I26/1000</f>
        <v>0.19438348041117468</v>
      </c>
      <c r="J26" s="18"/>
      <c r="K26" s="18">
        <f>'[3]Liver - GC Results (nmol g)'!K26/1000</f>
        <v>0.31528085798443628</v>
      </c>
      <c r="L26" s="18">
        <f>'[3]Liver - GC Results (nmol g)'!L26/1000</f>
        <v>0.63495872209677418</v>
      </c>
      <c r="M26" s="18"/>
      <c r="N26" s="18">
        <f>'[3]Liver - GC Results (nmol g)'!N26/1000</f>
        <v>0.68076642352850159</v>
      </c>
      <c r="O26" s="18">
        <f>'[3]Liver - GC Results (nmol g)'!O26/1000</f>
        <v>0.441561254838715</v>
      </c>
      <c r="P26" s="18">
        <f>'[3]Liver - GC Results (nmol g)'!P26/1000</f>
        <v>0.30553842879060822</v>
      </c>
      <c r="Q26" s="18">
        <f>'[3]Liver - GC Results (nmol g)'!Q26/1000</f>
        <v>0.40768801967156876</v>
      </c>
      <c r="R26" s="18">
        <f>'[3]Liver - GC Results (nmol g)'!R26/1000</f>
        <v>0.39552320057757129</v>
      </c>
      <c r="S26" s="18">
        <f>'[3]Liver - GC Results (nmol g)'!S26/1000</f>
        <v>0.35584434289303629</v>
      </c>
      <c r="T26" s="18">
        <f>'[3]Liver - GC Results (nmol g)'!T26/1000</f>
        <v>0.25023559841912957</v>
      </c>
      <c r="U26" s="18">
        <f>'[3]Liver - GC Results (nmol g)'!U26/1000</f>
        <v>0.42197663049447548</v>
      </c>
      <c r="V26" s="18">
        <f>'[3]Liver - GC Results (nmol g)'!V26/1000</f>
        <v>0.42902455090663466</v>
      </c>
      <c r="W26" s="18">
        <f>'[3]Liver - GC Results (nmol g)'!W26/1000</f>
        <v>0.49572706805666716</v>
      </c>
      <c r="X26" s="18"/>
      <c r="Y26" s="18"/>
      <c r="Z26" s="18">
        <f>'[3]Liver - GC Results (nmol g)'!Z26/1000</f>
        <v>0.2339091732591482</v>
      </c>
      <c r="AA26" s="18">
        <f>'[3]Liver - GC Results (nmol g)'!AA26/1000</f>
        <v>0.48873012006030331</v>
      </c>
      <c r="AB26" s="18">
        <f>'[3]Liver - GC Results (nmol g)'!AB26/1000</f>
        <v>0.27472403451544408</v>
      </c>
      <c r="AC26" s="18">
        <f>'[3]Liver - GC Results (nmol g)'!AC26/1000</f>
        <v>0.31510634693782524</v>
      </c>
      <c r="AD26" s="18">
        <f>'[3]Liver - GC Results (nmol g)'!AD26/1000</f>
        <v>0.26440922688670637</v>
      </c>
      <c r="AE26" s="18">
        <f>'[3]Liver - GC Results (nmol g)'!AE26/1000</f>
        <v>0.20023770979631661</v>
      </c>
      <c r="AF26" s="18">
        <f>'[3]Liver - GC Results (nmol g)'!AF26/1000</f>
        <v>0.2775541445314722</v>
      </c>
      <c r="AG26" s="18">
        <f>'[3]Liver - GC Results (nmol g)'!AG26/1000</f>
        <v>0.16616438397945768</v>
      </c>
      <c r="AH26" s="18">
        <f>'[3]Liver - GC Results (nmol g)'!AH26/1000</f>
        <v>0.19578805649813025</v>
      </c>
    </row>
    <row r="27" spans="1:34" x14ac:dyDescent="0.2">
      <c r="A27" t="s">
        <v>35</v>
      </c>
      <c r="C27" s="18">
        <f>'[3]Liver - GC Results (nmol g)'!C27/1000</f>
        <v>2.957960107006838</v>
      </c>
      <c r="D27" s="18">
        <f>'[3]Liver - GC Results (nmol g)'!D27/1000</f>
        <v>2.0666952411770643</v>
      </c>
      <c r="E27" s="18">
        <f>'[3]Liver - GC Results (nmol g)'!E27/1000</f>
        <v>2.1244086787161827</v>
      </c>
      <c r="F27" s="18">
        <f>'[3]Liver - GC Results (nmol g)'!F27/1000</f>
        <v>4.7824838484395311</v>
      </c>
      <c r="G27" s="18">
        <f>'[3]Liver - GC Results (nmol g)'!G27/1000</f>
        <v>2.2838674680228945</v>
      </c>
      <c r="H27" s="18">
        <f>'[3]Liver - GC Results (nmol g)'!H27/1000</f>
        <v>1.9310235524972528</v>
      </c>
      <c r="I27" s="18">
        <f>'[3]Liver - GC Results (nmol g)'!I27/1000</f>
        <v>2.2904128351644282</v>
      </c>
      <c r="J27" s="18"/>
      <c r="K27" s="18">
        <f>'[3]Liver - GC Results (nmol g)'!K27/1000</f>
        <v>3.6326535817394996</v>
      </c>
      <c r="L27" s="18">
        <f>'[3]Liver - GC Results (nmol g)'!L27/1000</f>
        <v>3.3655472709677423</v>
      </c>
      <c r="M27" s="18"/>
      <c r="N27" s="18">
        <f>'[3]Liver - GC Results (nmol g)'!N27/1000</f>
        <v>4.4809508037236689</v>
      </c>
      <c r="O27" s="18">
        <f>'[3]Liver - GC Results (nmol g)'!O27/1000</f>
        <v>3.1175246942744868</v>
      </c>
      <c r="P27" s="18">
        <f>'[3]Liver - GC Results (nmol g)'!P27/1000</f>
        <v>2.0388034946024116</v>
      </c>
      <c r="Q27" s="18">
        <f>'[3]Liver - GC Results (nmol g)'!Q27/1000</f>
        <v>2.7265442491683158</v>
      </c>
      <c r="R27" s="18">
        <f>'[3]Liver - GC Results (nmol g)'!R27/1000</f>
        <v>2.812615443166488</v>
      </c>
      <c r="S27" s="18">
        <f>'[3]Liver - GC Results (nmol g)'!S27/1000</f>
        <v>2.9071006432763435</v>
      </c>
      <c r="T27" s="18">
        <f>'[3]Liver - GC Results (nmol g)'!T27/1000</f>
        <v>1.9484609433346802</v>
      </c>
      <c r="U27" s="18">
        <f>'[3]Liver - GC Results (nmol g)'!U27/1000</f>
        <v>2.8591473295787648</v>
      </c>
      <c r="V27" s="18">
        <f>'[3]Liver - GC Results (nmol g)'!V27/1000</f>
        <v>2.9251556650676331</v>
      </c>
      <c r="W27" s="18">
        <f>'[3]Liver - GC Results (nmol g)'!W27/1000</f>
        <v>3.0444000796418678</v>
      </c>
      <c r="X27" s="18"/>
      <c r="Y27" s="18"/>
      <c r="Z27" s="18">
        <f>'[3]Liver - GC Results (nmol g)'!Z27/1000</f>
        <v>2.3102421502455792</v>
      </c>
      <c r="AA27" s="18">
        <f>'[3]Liver - GC Results (nmol g)'!AA27/1000</f>
        <v>3.4239933367482815</v>
      </c>
      <c r="AB27" s="18">
        <f>'[3]Liver - GC Results (nmol g)'!AB27/1000</f>
        <v>1.9842028697086738</v>
      </c>
      <c r="AC27" s="18">
        <f>'[3]Liver - GC Results (nmol g)'!AC27/1000</f>
        <v>1.6826423939617581</v>
      </c>
      <c r="AD27" s="18">
        <f>'[3]Liver - GC Results (nmol g)'!AD27/1000</f>
        <v>1.6374010103741883</v>
      </c>
      <c r="AE27" s="18">
        <f>'[3]Liver - GC Results (nmol g)'!AE27/1000</f>
        <v>1.586130352291081</v>
      </c>
      <c r="AF27" s="18">
        <f>'[3]Liver - GC Results (nmol g)'!AF27/1000</f>
        <v>2.0020074577674691</v>
      </c>
      <c r="AG27" s="18">
        <f>'[3]Liver - GC Results (nmol g)'!AG27/1000</f>
        <v>1.6351690397055128</v>
      </c>
      <c r="AH27" s="18">
        <f>'[3]Liver - GC Results (nmol g)'!AH27/1000</f>
        <v>1.4380946829907382</v>
      </c>
    </row>
    <row r="28" spans="1:34" x14ac:dyDescent="0.2">
      <c r="A28" t="s">
        <v>36</v>
      </c>
      <c r="C28" s="18">
        <f>'[3]Liver - GC Results (nmol g)'!C28/1000</f>
        <v>0.31192789730693554</v>
      </c>
      <c r="D28" s="18">
        <f>'[3]Liver - GC Results (nmol g)'!D28/1000</f>
        <v>0.23296945294261787</v>
      </c>
      <c r="E28" s="18">
        <f>'[3]Liver - GC Results (nmol g)'!E28/1000</f>
        <v>0.36497123633822892</v>
      </c>
      <c r="F28" s="18">
        <f>'[3]Liver - GC Results (nmol g)'!F28/1000</f>
        <v>1.0691777254929686</v>
      </c>
      <c r="G28" s="18">
        <f>'[3]Liver - GC Results (nmol g)'!G28/1000</f>
        <v>0.2968867533311757</v>
      </c>
      <c r="H28" s="18">
        <f>'[3]Liver - GC Results (nmol g)'!H28/1000</f>
        <v>0.20363239087388488</v>
      </c>
      <c r="I28" s="18">
        <f>'[3]Liver - GC Results (nmol g)'!I28/1000</f>
        <v>0.29634610247117593</v>
      </c>
      <c r="J28" s="18"/>
      <c r="K28" s="18">
        <f>'[3]Liver - GC Results (nmol g)'!K28/1000</f>
        <v>0.66416351565009546</v>
      </c>
      <c r="L28" s="18">
        <f>'[3]Liver - GC Results (nmol g)'!L28/1000</f>
        <v>0.94418269951612899</v>
      </c>
      <c r="M28" s="18"/>
      <c r="N28" s="18">
        <f>'[3]Liver - GC Results (nmol g)'!N28/1000</f>
        <v>1.2111660070103232</v>
      </c>
      <c r="O28" s="18">
        <f>'[3]Liver - GC Results (nmol g)'!O28/1000</f>
        <v>0.44928863086380211</v>
      </c>
      <c r="P28" s="18">
        <f>'[3]Liver - GC Results (nmol g)'!P28/1000</f>
        <v>0.28522304155982348</v>
      </c>
      <c r="Q28" s="18">
        <f>'[3]Liver - GC Results (nmol g)'!Q28/1000</f>
        <v>0.74674237393592457</v>
      </c>
      <c r="R28" s="18">
        <f>'[3]Liver - GC Results (nmol g)'!R28/1000</f>
        <v>0.59320787827886845</v>
      </c>
      <c r="S28" s="18">
        <f>'[3]Liver - GC Results (nmol g)'!S28/1000</f>
        <v>0.52327646599843647</v>
      </c>
      <c r="T28" s="18">
        <f>'[3]Liver - GC Results (nmol g)'!T28/1000</f>
        <v>0.22872479280863284</v>
      </c>
      <c r="U28" s="18">
        <f>'[3]Liver - GC Results (nmol g)'!U28/1000</f>
        <v>0.70102801915350466</v>
      </c>
      <c r="V28" s="18">
        <f>'[3]Liver - GC Results (nmol g)'!V28/1000</f>
        <v>0.63772879313781972</v>
      </c>
      <c r="W28" s="18">
        <f>'[3]Liver - GC Results (nmol g)'!W28/1000</f>
        <v>0.65098614188558523</v>
      </c>
      <c r="X28" s="18"/>
      <c r="Y28" s="18"/>
      <c r="Z28" s="18">
        <f>'[3]Liver - GC Results (nmol g)'!Z28/1000</f>
        <v>0.23599277314531497</v>
      </c>
      <c r="AA28" s="18">
        <f>'[3]Liver - GC Results (nmol g)'!AA28/1000</f>
        <v>0.23026684469194902</v>
      </c>
      <c r="AB28" s="18">
        <f>'[3]Liver - GC Results (nmol g)'!AB28/1000</f>
        <v>0.24007414267191832</v>
      </c>
      <c r="AC28" s="18">
        <f>'[3]Liver - GC Results (nmol g)'!AC28/1000</f>
        <v>0.37446851664070824</v>
      </c>
      <c r="AD28" s="18">
        <f>'[3]Liver - GC Results (nmol g)'!AD28/1000</f>
        <v>0.40568442657477594</v>
      </c>
      <c r="AE28" s="18">
        <f>'[3]Liver - GC Results (nmol g)'!AE28/1000</f>
        <v>0.15545366275938025</v>
      </c>
      <c r="AF28" s="18">
        <f>'[3]Liver - GC Results (nmol g)'!AF28/1000</f>
        <v>0.33601432438712503</v>
      </c>
      <c r="AG28" s="18">
        <f>'[3]Liver - GC Results (nmol g)'!AG28/1000</f>
        <v>0.11871754146939058</v>
      </c>
      <c r="AH28" s="18">
        <f>'[3]Liver - GC Results (nmol g)'!AH28/1000</f>
        <v>0.19619012891870904</v>
      </c>
    </row>
    <row r="29" spans="1:34" x14ac:dyDescent="0.2">
      <c r="A29" t="s">
        <v>50</v>
      </c>
      <c r="C29" s="18">
        <f>'[3]Liver - GC Results (nmol g)'!C29/1000</f>
        <v>0</v>
      </c>
      <c r="D29" s="18">
        <f>'[3]Liver - GC Results (nmol g)'!D29/1000</f>
        <v>0</v>
      </c>
      <c r="E29" s="18">
        <f>'[3]Liver - GC Results (nmol g)'!E29/1000</f>
        <v>0</v>
      </c>
      <c r="F29" s="18">
        <f>'[3]Liver - GC Results (nmol g)'!F29/1000</f>
        <v>0</v>
      </c>
      <c r="G29" s="18">
        <f>'[3]Liver - GC Results (nmol g)'!G29/1000</f>
        <v>0</v>
      </c>
      <c r="H29" s="18">
        <f>'[3]Liver - GC Results (nmol g)'!H29/1000</f>
        <v>0</v>
      </c>
      <c r="I29" s="18">
        <f>'[3]Liver - GC Results (nmol g)'!I29/1000</f>
        <v>0</v>
      </c>
      <c r="J29" s="18"/>
      <c r="K29" s="18">
        <f>'[3]Liver - GC Results (nmol g)'!K29/1000</f>
        <v>0</v>
      </c>
      <c r="L29" s="18">
        <f>'[3]Liver - GC Results (nmol g)'!L29/1000</f>
        <v>0</v>
      </c>
      <c r="M29" s="18"/>
      <c r="N29" s="18">
        <f>'[3]Liver - GC Results (nmol g)'!N29/1000</f>
        <v>0</v>
      </c>
      <c r="O29" s="18">
        <f>'[3]Liver - GC Results (nmol g)'!O29/1000</f>
        <v>0</v>
      </c>
      <c r="P29" s="18">
        <f>'[3]Liver - GC Results (nmol g)'!P29/1000</f>
        <v>0</v>
      </c>
      <c r="Q29" s="18">
        <f>'[3]Liver - GC Results (nmol g)'!Q29/1000</f>
        <v>0</v>
      </c>
      <c r="R29" s="18">
        <f>'[3]Liver - GC Results (nmol g)'!R29/1000</f>
        <v>0</v>
      </c>
      <c r="S29" s="18">
        <f>'[3]Liver - GC Results (nmol g)'!S29/1000</f>
        <v>0</v>
      </c>
      <c r="T29" s="18">
        <f>'[3]Liver - GC Results (nmol g)'!T29/1000</f>
        <v>0</v>
      </c>
      <c r="U29" s="18">
        <f>'[3]Liver - GC Results (nmol g)'!U29/1000</f>
        <v>0</v>
      </c>
      <c r="V29" s="18">
        <f>'[3]Liver - GC Results (nmol g)'!V29/1000</f>
        <v>0</v>
      </c>
      <c r="W29" s="18">
        <f>'[3]Liver - GC Results (nmol g)'!W29/1000</f>
        <v>0</v>
      </c>
      <c r="X29" s="18"/>
      <c r="Y29" s="18"/>
      <c r="Z29" s="18">
        <f>'[3]Liver - GC Results (nmol g)'!Z29/1000</f>
        <v>0</v>
      </c>
      <c r="AA29" s="18">
        <f>'[3]Liver - GC Results (nmol g)'!AA29/1000</f>
        <v>0</v>
      </c>
      <c r="AB29" s="18">
        <f>'[3]Liver - GC Results (nmol g)'!AB29/1000</f>
        <v>0</v>
      </c>
      <c r="AC29" s="18">
        <f>'[3]Liver - GC Results (nmol g)'!AC29/1000</f>
        <v>0</v>
      </c>
      <c r="AD29" s="18">
        <f>'[3]Liver - GC Results (nmol g)'!AD29/1000</f>
        <v>0</v>
      </c>
      <c r="AE29" s="18">
        <f>'[3]Liver - GC Results (nmol g)'!AE29/1000</f>
        <v>0</v>
      </c>
      <c r="AF29" s="18">
        <f>'[3]Liver - GC Results (nmol g)'!AF29/1000</f>
        <v>0</v>
      </c>
      <c r="AG29" s="18">
        <f>'[3]Liver - GC Results (nmol g)'!AG29/1000</f>
        <v>0</v>
      </c>
      <c r="AH29" s="18">
        <f>'[3]Liver - GC Results (nmol g)'!AH29/1000</f>
        <v>0</v>
      </c>
    </row>
    <row r="30" spans="1:34" x14ac:dyDescent="0.2">
      <c r="A30" t="s">
        <v>37</v>
      </c>
      <c r="C30" s="18">
        <f>'[3]Liver - GC Results (nmol g)'!C30/1000</f>
        <v>0.44610669684691817</v>
      </c>
      <c r="D30" s="18">
        <f>'[3]Liver - GC Results (nmol g)'!D30/1000</f>
        <v>0.47294700485680746</v>
      </c>
      <c r="E30" s="18">
        <f>'[3]Liver - GC Results (nmol g)'!E30/1000</f>
        <v>0.3350392789923079</v>
      </c>
      <c r="F30" s="18">
        <f>'[3]Liver - GC Results (nmol g)'!F30/1000</f>
        <v>0.73804901775681508</v>
      </c>
      <c r="G30" s="18">
        <f>'[3]Liver - GC Results (nmol g)'!G30/1000</f>
        <v>0.41954236731305833</v>
      </c>
      <c r="H30" s="18">
        <f>'[3]Liver - GC Results (nmol g)'!H30/1000</f>
        <v>0.42978486665221405</v>
      </c>
      <c r="I30" s="18">
        <f>'[3]Liver - GC Results (nmol g)'!I30/1000</f>
        <v>0.39957664851088925</v>
      </c>
      <c r="J30" s="18"/>
      <c r="K30" s="18">
        <f>'[3]Liver - GC Results (nmol g)'!K30/1000</f>
        <v>0.52043591227639752</v>
      </c>
      <c r="L30" s="18">
        <f>'[3]Liver - GC Results (nmol g)'!L30/1000</f>
        <v>0.65456403629032256</v>
      </c>
      <c r="M30" s="18"/>
      <c r="N30" s="18">
        <f>'[3]Liver - GC Results (nmol g)'!N30/1000</f>
        <v>0.68519058747781625</v>
      </c>
      <c r="O30" s="18">
        <f>'[3]Liver - GC Results (nmol g)'!O30/1000</f>
        <v>0.58096551972338373</v>
      </c>
      <c r="P30" s="18">
        <f>'[3]Liver - GC Results (nmol g)'!P30/1000</f>
        <v>0.43969802991039741</v>
      </c>
      <c r="Q30" s="18">
        <f>'[3]Liver - GC Results (nmol g)'!Q30/1000</f>
        <v>0.44034971811101387</v>
      </c>
      <c r="R30" s="18">
        <f>'[3]Liver - GC Results (nmol g)'!R30/1000</f>
        <v>0.42559301799605254</v>
      </c>
      <c r="S30" s="18">
        <f>'[3]Liver - GC Results (nmol g)'!S30/1000</f>
        <v>0.43867297442175102</v>
      </c>
      <c r="T30" s="18">
        <f>'[3]Liver - GC Results (nmol g)'!T30/1000</f>
        <v>0.48218416760415045</v>
      </c>
      <c r="U30" s="18">
        <f>'[3]Liver - GC Results (nmol g)'!U30/1000</f>
        <v>0.5403808855702853</v>
      </c>
      <c r="V30" s="18">
        <f>'[3]Liver - GC Results (nmol g)'!V30/1000</f>
        <v>0.62439255471442789</v>
      </c>
      <c r="W30" s="18">
        <f>'[3]Liver - GC Results (nmol g)'!W30/1000</f>
        <v>0.62162212402707495</v>
      </c>
      <c r="X30" s="18"/>
      <c r="Y30" s="18"/>
      <c r="Z30" s="18">
        <f>'[3]Liver - GC Results (nmol g)'!Z30/1000</f>
        <v>0.58252071423404739</v>
      </c>
      <c r="AA30" s="18">
        <f>'[3]Liver - GC Results (nmol g)'!AA30/1000</f>
        <v>1.2741201995322624</v>
      </c>
      <c r="AB30" s="18">
        <f>'[3]Liver - GC Results (nmol g)'!AB30/1000</f>
        <v>0.60529746820865882</v>
      </c>
      <c r="AC30" s="18">
        <f>'[3]Liver - GC Results (nmol g)'!AC30/1000</f>
        <v>0.40608066855402652</v>
      </c>
      <c r="AD30" s="18">
        <f>'[3]Liver - GC Results (nmol g)'!AD30/1000</f>
        <v>0.43255451494645464</v>
      </c>
      <c r="AE30" s="18">
        <f>'[3]Liver - GC Results (nmol g)'!AE30/1000</f>
        <v>0.46502292016255053</v>
      </c>
      <c r="AF30" s="18">
        <f>'[3]Liver - GC Results (nmol g)'!AF30/1000</f>
        <v>0.50068352626406842</v>
      </c>
      <c r="AG30" s="18">
        <f>'[3]Liver - GC Results (nmol g)'!AG30/1000</f>
        <v>0.44040924943082282</v>
      </c>
      <c r="AH30" s="18">
        <f>'[3]Liver - GC Results (nmol g)'!AH30/1000</f>
        <v>0.48073264890933315</v>
      </c>
    </row>
    <row r="31" spans="1:34" x14ac:dyDescent="0.2">
      <c r="A31" t="s">
        <v>38</v>
      </c>
      <c r="C31" s="18">
        <f>'[3]Liver - GC Results (nmol g)'!C31/1000</f>
        <v>3.036054549899593</v>
      </c>
      <c r="D31" s="18">
        <f>'[3]Liver - GC Results (nmol g)'!D31/1000</f>
        <v>2.2079368041289391</v>
      </c>
      <c r="E31" s="18">
        <f>'[3]Liver - GC Results (nmol g)'!E31/1000</f>
        <v>2.4113453673250906</v>
      </c>
      <c r="F31" s="18">
        <f>'[3]Liver - GC Results (nmol g)'!F31/1000</f>
        <v>7.2846905943848785</v>
      </c>
      <c r="G31" s="18">
        <f>'[3]Liver - GC Results (nmol g)'!G31/1000</f>
        <v>2.4177639775346065</v>
      </c>
      <c r="H31" s="18">
        <f>'[3]Liver - GC Results (nmol g)'!H31/1000</f>
        <v>2.4924484651830174</v>
      </c>
      <c r="I31" s="18">
        <f>'[3]Liver - GC Results (nmol g)'!I31/1000</f>
        <v>3.0025744798160865</v>
      </c>
      <c r="J31" s="18"/>
      <c r="K31" s="18">
        <f>'[3]Liver - GC Results (nmol g)'!K31/1000</f>
        <v>4.7338561398552521</v>
      </c>
      <c r="L31" s="18">
        <f>'[3]Liver - GC Results (nmol g)'!L31/1000</f>
        <v>4.7042397129032256</v>
      </c>
      <c r="M31" s="18"/>
      <c r="N31" s="18">
        <f>'[3]Liver - GC Results (nmol g)'!N31/1000</f>
        <v>5.3640721594010419</v>
      </c>
      <c r="O31" s="18">
        <f>'[3]Liver - GC Results (nmol g)'!O31/1000</f>
        <v>2.6644667182685118</v>
      </c>
      <c r="P31" s="18">
        <f>'[3]Liver - GC Results (nmol g)'!P31/1000</f>
        <v>1.8015942911593226</v>
      </c>
      <c r="Q31" s="18">
        <f>'[3]Liver - GC Results (nmol g)'!Q31/1000</f>
        <v>2.7232485210333826</v>
      </c>
      <c r="R31" s="18">
        <f>'[3]Liver - GC Results (nmol g)'!R31/1000</f>
        <v>2.5960807010142744</v>
      </c>
      <c r="S31" s="18">
        <f>'[3]Liver - GC Results (nmol g)'!S31/1000</f>
        <v>2.7210589629701571</v>
      </c>
      <c r="T31" s="18">
        <f>'[3]Liver - GC Results (nmol g)'!T31/1000</f>
        <v>1.9991429780994046</v>
      </c>
      <c r="U31" s="18">
        <f>'[3]Liver - GC Results (nmol g)'!U31/1000</f>
        <v>3.5517261842032117</v>
      </c>
      <c r="V31" s="18">
        <f>'[3]Liver - GC Results (nmol g)'!V31/1000</f>
        <v>3.5300461945356805</v>
      </c>
      <c r="W31" s="18">
        <f>'[3]Liver - GC Results (nmol g)'!W31/1000</f>
        <v>2.88223350604519</v>
      </c>
      <c r="X31" s="18"/>
      <c r="Y31" s="18"/>
      <c r="Z31" s="18">
        <f>'[3]Liver - GC Results (nmol g)'!Z31/1000</f>
        <v>1.9058362592632641</v>
      </c>
      <c r="AA31" s="18">
        <f>'[3]Liver - GC Results (nmol g)'!AA31/1000</f>
        <v>2.277203326929778</v>
      </c>
      <c r="AB31" s="18">
        <f>'[3]Liver - GC Results (nmol g)'!AB31/1000</f>
        <v>1.959573325860418</v>
      </c>
      <c r="AC31" s="18">
        <f>'[3]Liver - GC Results (nmol g)'!AC31/1000</f>
        <v>1.8618795915046049</v>
      </c>
      <c r="AD31" s="18">
        <f>'[3]Liver - GC Results (nmol g)'!AD31/1000</f>
        <v>2.8542617073866832</v>
      </c>
      <c r="AE31" s="18">
        <f>'[3]Liver - GC Results (nmol g)'!AE31/1000</f>
        <v>1.4486571637904682</v>
      </c>
      <c r="AF31" s="18">
        <f>'[3]Liver - GC Results (nmol g)'!AF31/1000</f>
        <v>2.2309890568253667</v>
      </c>
      <c r="AG31" s="18">
        <f>'[3]Liver - GC Results (nmol g)'!AG31/1000</f>
        <v>1.3200907885367508</v>
      </c>
      <c r="AH31" s="18">
        <f>'[3]Liver - GC Results (nmol g)'!AH31/1000</f>
        <v>1.6255359944433636</v>
      </c>
    </row>
    <row r="32" spans="1:34" x14ac:dyDescent="0.2">
      <c r="A32" t="s">
        <v>39</v>
      </c>
      <c r="C32" s="18">
        <f>'[3]Liver - GC Results (nmol g)'!C32/1000</f>
        <v>1.6418696989075927</v>
      </c>
      <c r="D32" s="18">
        <f>'[3]Liver - GC Results (nmol g)'!D32/1000</f>
        <v>1.2960771064491921</v>
      </c>
      <c r="E32" s="18">
        <f>'[3]Liver - GC Results (nmol g)'!E32/1000</f>
        <v>1.6870736585910284</v>
      </c>
      <c r="F32" s="18">
        <f>'[3]Liver - GC Results (nmol g)'!F32/1000</f>
        <v>3.1009322745686871</v>
      </c>
      <c r="G32" s="18">
        <f>'[3]Liver - GC Results (nmol g)'!G32/1000</f>
        <v>1.3857237760809937</v>
      </c>
      <c r="H32" s="18">
        <f>'[3]Liver - GC Results (nmol g)'!H32/1000</f>
        <v>1.8609577749510846</v>
      </c>
      <c r="I32" s="18">
        <f>'[3]Liver - GC Results (nmol g)'!I32/1000</f>
        <v>1.686939384208038</v>
      </c>
      <c r="J32" s="18"/>
      <c r="K32" s="18">
        <f>'[3]Liver - GC Results (nmol g)'!K32/1000</f>
        <v>2.4142961305075947</v>
      </c>
      <c r="L32" s="18">
        <f>'[3]Liver - GC Results (nmol g)'!L32/1000</f>
        <v>2.9276241112903225</v>
      </c>
      <c r="M32" s="18"/>
      <c r="N32" s="18">
        <f>'[3]Liver - GC Results (nmol g)'!N32/1000</f>
        <v>6.6665852518445066</v>
      </c>
      <c r="O32" s="18">
        <f>'[3]Liver - GC Results (nmol g)'!O32/1000</f>
        <v>2.5302131861410651</v>
      </c>
      <c r="P32" s="18">
        <f>'[3]Liver - GC Results (nmol g)'!P32/1000</f>
        <v>2.0093845283679568</v>
      </c>
      <c r="Q32" s="18">
        <f>'[3]Liver - GC Results (nmol g)'!Q32/1000</f>
        <v>2.989280784578221</v>
      </c>
      <c r="R32" s="18">
        <f>'[3]Liver - GC Results (nmol g)'!R32/1000</f>
        <v>3.352646096850147</v>
      </c>
      <c r="S32" s="18">
        <f>'[3]Liver - GC Results (nmol g)'!S32/1000</f>
        <v>4.2169594237678867</v>
      </c>
      <c r="T32" s="18">
        <f>'[3]Liver - GC Results (nmol g)'!T32/1000</f>
        <v>1.4622181209052252</v>
      </c>
      <c r="U32" s="18">
        <f>'[3]Liver - GC Results (nmol g)'!U32/1000</f>
        <v>3.0832687509432155</v>
      </c>
      <c r="V32" s="18">
        <f>'[3]Liver - GC Results (nmol g)'!V32/1000</f>
        <v>2.9714587451336225</v>
      </c>
      <c r="W32" s="18">
        <f>'[3]Liver - GC Results (nmol g)'!W32/1000</f>
        <v>2.7156446302879869</v>
      </c>
      <c r="X32" s="18"/>
      <c r="Y32" s="18"/>
      <c r="Z32" s="18">
        <f>'[3]Liver - GC Results (nmol g)'!Z32/1000</f>
        <v>1.5927998082253951</v>
      </c>
      <c r="AA32" s="18">
        <f>'[3]Liver - GC Results (nmol g)'!AA32/1000</f>
        <v>1.7133521594308154</v>
      </c>
      <c r="AB32" s="18">
        <f>'[3]Liver - GC Results (nmol g)'!AB32/1000</f>
        <v>1.2843652202162206</v>
      </c>
      <c r="AC32" s="18">
        <f>'[3]Liver - GC Results (nmol g)'!AC32/1000</f>
        <v>1.2458290139960002</v>
      </c>
      <c r="AD32" s="18">
        <f>'[3]Liver - GC Results (nmol g)'!AD32/1000</f>
        <v>1.9110563329048926</v>
      </c>
      <c r="AE32" s="18">
        <f>'[3]Liver - GC Results (nmol g)'!AE32/1000</f>
        <v>1.1662187414246665</v>
      </c>
      <c r="AF32" s="18">
        <f>'[3]Liver - GC Results (nmol g)'!AF32/1000</f>
        <v>1.6092249408536643</v>
      </c>
      <c r="AG32" s="18">
        <f>'[3]Liver - GC Results (nmol g)'!AG32/1000</f>
        <v>1.0057882662890412</v>
      </c>
      <c r="AH32" s="18">
        <f>'[3]Liver - GC Results (nmol g)'!AH32/1000</f>
        <v>1.1811518765189652</v>
      </c>
    </row>
    <row r="33" spans="1:34" x14ac:dyDescent="0.2">
      <c r="A33" t="s">
        <v>40</v>
      </c>
      <c r="C33" s="18">
        <f>'[3]Liver - GC Results (nmol g)'!C33/1000</f>
        <v>1.8156088368626574E-2</v>
      </c>
      <c r="D33" s="18">
        <f>'[3]Liver - GC Results (nmol g)'!D33/1000</f>
        <v>1.7171100116882464E-2</v>
      </c>
      <c r="E33" s="18">
        <f>'[3]Liver - GC Results (nmol g)'!E33/1000</f>
        <v>1.7516548139936639E-2</v>
      </c>
      <c r="F33" s="18">
        <f>'[3]Liver - GC Results (nmol g)'!F33/1000</f>
        <v>3.142118167351541E-2</v>
      </c>
      <c r="G33" s="18">
        <f>'[3]Liver - GC Results (nmol g)'!G33/1000</f>
        <v>1.9486125445561199E-2</v>
      </c>
      <c r="H33" s="18">
        <f>'[3]Liver - GC Results (nmol g)'!H33/1000</f>
        <v>1.7077212597553848E-2</v>
      </c>
      <c r="I33" s="18">
        <f>'[3]Liver - GC Results (nmol g)'!I33/1000</f>
        <v>2.0762449477506145E-2</v>
      </c>
      <c r="J33" s="18"/>
      <c r="K33" s="18">
        <f>'[3]Liver - GC Results (nmol g)'!K33/1000</f>
        <v>2.4491210504075218E-2</v>
      </c>
      <c r="L33" s="18">
        <f>'[3]Liver - GC Results (nmol g)'!L33/1000</f>
        <v>2.0082170967741935E-2</v>
      </c>
      <c r="M33" s="18"/>
      <c r="N33" s="18">
        <f>'[3]Liver - GC Results (nmol g)'!N33/1000</f>
        <v>2.4602490978342984E-2</v>
      </c>
      <c r="O33" s="18">
        <f>'[3]Liver - GC Results (nmol g)'!O33/1000</f>
        <v>3.3581397196677763E-2</v>
      </c>
      <c r="P33" s="18">
        <f>'[3]Liver - GC Results (nmol g)'!P33/1000</f>
        <v>2.1521651024571379E-2</v>
      </c>
      <c r="Q33" s="18">
        <f>'[3]Liver - GC Results (nmol g)'!Q33/1000</f>
        <v>2.7115514776760469E-2</v>
      </c>
      <c r="R33" s="18">
        <f>'[3]Liver - GC Results (nmol g)'!R33/1000</f>
        <v>2.7433228749634404E-2</v>
      </c>
      <c r="S33" s="18">
        <f>'[3]Liver - GC Results (nmol g)'!S33/1000</f>
        <v>1.5721760546818311E-2</v>
      </c>
      <c r="T33" s="18">
        <f>'[3]Liver - GC Results (nmol g)'!T33/1000</f>
        <v>2.5855458248355175E-2</v>
      </c>
      <c r="U33" s="18">
        <f>'[3]Liver - GC Results (nmol g)'!U33/1000</f>
        <v>3.7277566868215366E-2</v>
      </c>
      <c r="V33" s="18">
        <f>'[3]Liver - GC Results (nmol g)'!V33/1000</f>
        <v>4.1905150158039015E-2</v>
      </c>
      <c r="W33" s="18">
        <f>'[3]Liver - GC Results (nmol g)'!W33/1000</f>
        <v>3.4781768484675714E-2</v>
      </c>
      <c r="X33" s="18"/>
      <c r="Y33" s="18"/>
      <c r="Z33" s="18">
        <f>'[3]Liver - GC Results (nmol g)'!Z33/1000</f>
        <v>3.8114194968163193E-2</v>
      </c>
      <c r="AA33" s="18">
        <f>'[3]Liver - GC Results (nmol g)'!AA33/1000</f>
        <v>4.6932789752609887E-2</v>
      </c>
      <c r="AB33" s="18">
        <f>'[3]Liver - GC Results (nmol g)'!AB33/1000</f>
        <v>2.8617665721465523E-2</v>
      </c>
      <c r="AC33" s="18">
        <f>'[3]Liver - GC Results (nmol g)'!AC33/1000</f>
        <v>2.5924307010864907E-2</v>
      </c>
      <c r="AD33" s="18">
        <f>'[3]Liver - GC Results (nmol g)'!AD33/1000</f>
        <v>2.0697411757325167E-2</v>
      </c>
      <c r="AE33" s="18">
        <f>'[3]Liver - GC Results (nmol g)'!AE33/1000</f>
        <v>2.1249119272326363E-2</v>
      </c>
      <c r="AF33" s="18">
        <f>'[3]Liver - GC Results (nmol g)'!AF33/1000</f>
        <v>2.4341313311635002E-2</v>
      </c>
      <c r="AG33" s="18">
        <f>'[3]Liver - GC Results (nmol g)'!AG33/1000</f>
        <v>2.8307413959583024E-2</v>
      </c>
      <c r="AH33" s="18">
        <f>'[3]Liver - GC Results (nmol g)'!AH33/1000</f>
        <v>1.6918386779143549E-2</v>
      </c>
    </row>
    <row r="34" spans="1:34" x14ac:dyDescent="0.2">
      <c r="A34" t="s">
        <v>41</v>
      </c>
      <c r="C34" s="18">
        <f>'[3]Liver - GC Results (nmol g)'!C34/1000</f>
        <v>6.7373079074986825E-2</v>
      </c>
      <c r="D34" s="18">
        <f>'[3]Liver - GC Results (nmol g)'!D34/1000</f>
        <v>5.8508396259544702E-2</v>
      </c>
      <c r="E34" s="18">
        <f>'[3]Liver - GC Results (nmol g)'!E34/1000</f>
        <v>9.2097703670652564E-2</v>
      </c>
      <c r="F34" s="18">
        <f>'[3]Liver - GC Results (nmol g)'!F34/1000</f>
        <v>0.14563141005887184</v>
      </c>
      <c r="G34" s="18">
        <f>'[3]Liver - GC Results (nmol g)'!G34/1000</f>
        <v>5.923630874907089E-2</v>
      </c>
      <c r="H34" s="18">
        <f>'[3]Liver - GC Results (nmol g)'!H34/1000</f>
        <v>6.9647861186278498E-2</v>
      </c>
      <c r="I34" s="18">
        <f>'[3]Liver - GC Results (nmol g)'!I34/1000</f>
        <v>7.4924470059651083E-2</v>
      </c>
      <c r="J34" s="18"/>
      <c r="K34" s="18">
        <f>'[3]Liver - GC Results (nmol g)'!K34/1000</f>
        <v>0.12113460753206788</v>
      </c>
      <c r="L34" s="18">
        <f>'[3]Liver - GC Results (nmol g)'!L34/1000</f>
        <v>0.21292980854838711</v>
      </c>
      <c r="M34" s="18"/>
      <c r="N34" s="18">
        <f>'[3]Liver - GC Results (nmol g)'!N34/1000</f>
        <v>0.57233727572135695</v>
      </c>
      <c r="O34" s="18">
        <f>'[3]Liver - GC Results (nmol g)'!O34/1000</f>
        <v>0.23402906570045606</v>
      </c>
      <c r="P34" s="18">
        <f>'[3]Liver - GC Results (nmol g)'!P34/1000</f>
        <v>0.19992905485478482</v>
      </c>
      <c r="Q34" s="18">
        <f>'[3]Liver - GC Results (nmol g)'!Q34/1000</f>
        <v>0.27840684738425836</v>
      </c>
      <c r="R34" s="18">
        <f>'[3]Liver - GC Results (nmol g)'!R34/1000</f>
        <v>0.30849533675533014</v>
      </c>
      <c r="S34" s="18">
        <f>'[3]Liver - GC Results (nmol g)'!S34/1000</f>
        <v>0.35715556809698179</v>
      </c>
      <c r="T34" s="18">
        <f>'[3]Liver - GC Results (nmol g)'!T34/1000</f>
        <v>9.9592257901689435E-2</v>
      </c>
      <c r="U34" s="18">
        <f>'[3]Liver - GC Results (nmol g)'!U34/1000</f>
        <v>0.30325445032559689</v>
      </c>
      <c r="V34" s="18">
        <f>'[3]Liver - GC Results (nmol g)'!V34/1000</f>
        <v>0.28227450391103565</v>
      </c>
      <c r="W34" s="18">
        <f>'[3]Liver - GC Results (nmol g)'!W34/1000</f>
        <v>0.26125032192089698</v>
      </c>
      <c r="X34" s="18"/>
      <c r="Y34" s="18"/>
      <c r="Z34" s="18">
        <f>'[3]Liver - GC Results (nmol g)'!Z34/1000</f>
        <v>0.11358459778980498</v>
      </c>
      <c r="AA34" s="18">
        <f>'[3]Liver - GC Results (nmol g)'!AA34/1000</f>
        <v>0.10534429499246575</v>
      </c>
      <c r="AB34" s="18">
        <f>'[3]Liver - GC Results (nmol g)'!AB34/1000</f>
        <v>7.730241412551063E-2</v>
      </c>
      <c r="AC34" s="18">
        <f>'[3]Liver - GC Results (nmol g)'!AC34/1000</f>
        <v>0.10224317591971366</v>
      </c>
      <c r="AD34" s="18">
        <f>'[3]Liver - GC Results (nmol g)'!AD34/1000</f>
        <v>0.10103983298821988</v>
      </c>
      <c r="AE34" s="18">
        <f>'[3]Liver - GC Results (nmol g)'!AE34/1000</f>
        <v>6.7835006864552058E-2</v>
      </c>
      <c r="AF34" s="18">
        <f>'[3]Liver - GC Results (nmol g)'!AF34/1000</f>
        <v>0.10497410954869196</v>
      </c>
      <c r="AG34" s="18">
        <f>'[3]Liver - GC Results (nmol g)'!AG34/1000</f>
        <v>4.7118320724686483E-2</v>
      </c>
      <c r="AH34" s="18">
        <f>'[3]Liver - GC Results (nmol g)'!AH34/1000</f>
        <v>6.5529743176914693E-2</v>
      </c>
    </row>
    <row r="35" spans="1:34" x14ac:dyDescent="0.2">
      <c r="A35" t="s">
        <v>42</v>
      </c>
      <c r="C35" s="18">
        <f>'[3]Liver - GC Results (nmol g)'!C35/1000</f>
        <v>1.2947938990181105E-2</v>
      </c>
      <c r="D35" s="18">
        <f>'[3]Liver - GC Results (nmol g)'!D35/1000</f>
        <v>1.152189487907565E-2</v>
      </c>
      <c r="E35" s="18">
        <f>'[3]Liver - GC Results (nmol g)'!E35/1000</f>
        <v>1.0009021040934497E-2</v>
      </c>
      <c r="F35" s="18">
        <f>'[3]Liver - GC Results (nmol g)'!F35/1000</f>
        <v>3.2054611027300089E-2</v>
      </c>
      <c r="G35" s="18">
        <f>'[3]Liver - GC Results (nmol g)'!G35/1000</f>
        <v>1.300753299233702E-2</v>
      </c>
      <c r="H35" s="18">
        <f>'[3]Liver - GC Results (nmol g)'!H35/1000</f>
        <v>8.5551127855583997E-3</v>
      </c>
      <c r="I35" s="18">
        <f>'[3]Liver - GC Results (nmol g)'!I35/1000</f>
        <v>1.5036605810570845E-2</v>
      </c>
      <c r="J35" s="18"/>
      <c r="K35" s="18">
        <f>'[3]Liver - GC Results (nmol g)'!K35/1000</f>
        <v>1.2657287792769929E-2</v>
      </c>
      <c r="L35" s="18">
        <f>'[3]Liver - GC Results (nmol g)'!L35/1000</f>
        <v>9.8245332258064515E-3</v>
      </c>
      <c r="M35" s="18"/>
      <c r="N35" s="18">
        <f>'[3]Liver - GC Results (nmol g)'!N35/1000</f>
        <v>7.3493776003027587E-3</v>
      </c>
      <c r="O35" s="18">
        <f>'[3]Liver - GC Results (nmol g)'!O35/1000</f>
        <v>8.0860908237661341E-3</v>
      </c>
      <c r="P35" s="18">
        <f>'[3]Liver - GC Results (nmol g)'!P35/1000</f>
        <v>7.1566233842632419E-3</v>
      </c>
      <c r="Q35" s="18">
        <f>'[3]Liver - GC Results (nmol g)'!Q35/1000</f>
        <v>9.4446189450529423E-3</v>
      </c>
      <c r="R35" s="18">
        <f>'[3]Liver - GC Results (nmol g)'!R35/1000</f>
        <v>7.5105064533170342E-3</v>
      </c>
      <c r="S35" s="18">
        <f>'[3]Liver - GC Results (nmol g)'!S35/1000</f>
        <v>9.4557580285405726E-3</v>
      </c>
      <c r="T35" s="18">
        <f>'[3]Liver - GC Results (nmol g)'!T35/1000</f>
        <v>1.1364288256624132E-2</v>
      </c>
      <c r="U35" s="18">
        <f>'[3]Liver - GC Results (nmol g)'!U35/1000</f>
        <v>1.7285318782756111E-2</v>
      </c>
      <c r="V35" s="18">
        <f>'[3]Liver - GC Results (nmol g)'!V35/1000</f>
        <v>1.6202501745240322E-2</v>
      </c>
      <c r="W35" s="18">
        <f>'[3]Liver - GC Results (nmol g)'!W35/1000</f>
        <v>1.3212393567746086E-2</v>
      </c>
      <c r="X35" s="18"/>
      <c r="Y35" s="18"/>
      <c r="Z35" s="18">
        <f>'[3]Liver - GC Results (nmol g)'!Z35/1000</f>
        <v>1.3656882469511402E-2</v>
      </c>
      <c r="AA35" s="18">
        <f>'[3]Liver - GC Results (nmol g)'!AA35/1000</f>
        <v>1.1477262587224328E-2</v>
      </c>
      <c r="AB35" s="18">
        <f>'[3]Liver - GC Results (nmol g)'!AB35/1000</f>
        <v>8.1976697780582388E-3</v>
      </c>
      <c r="AC35" s="18">
        <f>'[3]Liver - GC Results (nmol g)'!AC35/1000</f>
        <v>7.520546794166384E-3</v>
      </c>
      <c r="AD35" s="18">
        <f>'[3]Liver - GC Results (nmol g)'!AD35/1000</f>
        <v>6.1813690977320758E-3</v>
      </c>
      <c r="AE35" s="18">
        <f>'[3]Liver - GC Results (nmol g)'!AE35/1000</f>
        <v>6.3346676279387179E-3</v>
      </c>
      <c r="AF35" s="18">
        <f>'[3]Liver - GC Results (nmol g)'!AF35/1000</f>
        <v>7.6350114643232107E-3</v>
      </c>
      <c r="AG35" s="18">
        <f>'[3]Liver - GC Results (nmol g)'!AG35/1000</f>
        <v>5.2976503384055762E-3</v>
      </c>
      <c r="AH35" s="18">
        <f>'[3]Liver - GC Results (nmol g)'!AH35/1000</f>
        <v>6.3712374893194011E-3</v>
      </c>
    </row>
    <row r="36" spans="1:34" x14ac:dyDescent="0.2">
      <c r="A36" t="s">
        <v>43</v>
      </c>
      <c r="C36" s="18">
        <f>'[3]Liver - GC Results (nmol g)'!C36/1000</f>
        <v>0.19494782164620031</v>
      </c>
      <c r="D36" s="18">
        <f>'[3]Liver - GC Results (nmol g)'!D36/1000</f>
        <v>0.12886219432975107</v>
      </c>
      <c r="E36" s="18">
        <f>'[3]Liver - GC Results (nmol g)'!E36/1000</f>
        <v>0.1410425406106145</v>
      </c>
      <c r="F36" s="18">
        <f>'[3]Liver - GC Results (nmol g)'!F36/1000</f>
        <v>0.34824410962890634</v>
      </c>
      <c r="G36" s="18">
        <f>'[3]Liver - GC Results (nmol g)'!G36/1000</f>
        <v>0.18114456245326963</v>
      </c>
      <c r="H36" s="18">
        <f>'[3]Liver - GC Results (nmol g)'!H36/1000</f>
        <v>0.18091922005801583</v>
      </c>
      <c r="I36" s="18">
        <f>'[3]Liver - GC Results (nmol g)'!I36/1000</f>
        <v>0.15159819423146981</v>
      </c>
      <c r="J36" s="18"/>
      <c r="K36" s="18">
        <f>'[3]Liver - GC Results (nmol g)'!K36/1000</f>
        <v>0.26507658197974482</v>
      </c>
      <c r="L36" s="18">
        <f>'[3]Liver - GC Results (nmol g)'!L36/1000</f>
        <v>0.36865863032258062</v>
      </c>
      <c r="M36" s="18"/>
      <c r="N36" s="18">
        <f>'[3]Liver - GC Results (nmol g)'!N36/1000</f>
        <v>0.73666036148791469</v>
      </c>
      <c r="O36" s="18">
        <f>'[3]Liver - GC Results (nmol g)'!O36/1000</f>
        <v>0.26515325057315436</v>
      </c>
      <c r="P36" s="18">
        <f>'[3]Liver - GC Results (nmol g)'!P36/1000</f>
        <v>0.16378923075873331</v>
      </c>
      <c r="Q36" s="18">
        <f>'[3]Liver - GC Results (nmol g)'!Q36/1000</f>
        <v>0.26251959301688038</v>
      </c>
      <c r="R36" s="18">
        <f>'[3]Liver - GC Results (nmol g)'!R36/1000</f>
        <v>0.32821673007818097</v>
      </c>
      <c r="S36" s="18">
        <f>'[3]Liver - GC Results (nmol g)'!S36/1000</f>
        <v>0.30150928337932859</v>
      </c>
      <c r="T36" s="18">
        <f>'[3]Liver - GC Results (nmol g)'!T36/1000</f>
        <v>0.14635202395018107</v>
      </c>
      <c r="U36" s="18">
        <f>'[3]Liver - GC Results (nmol g)'!U36/1000</f>
        <v>0.25630278979960408</v>
      </c>
      <c r="V36" s="18">
        <f>'[3]Liver - GC Results (nmol g)'!V36/1000</f>
        <v>0.31462301974610141</v>
      </c>
      <c r="W36" s="18">
        <f>'[3]Liver - GC Results (nmol g)'!W36/1000</f>
        <v>0.29921827747799035</v>
      </c>
      <c r="X36" s="18"/>
      <c r="Y36" s="18"/>
      <c r="Z36" s="18">
        <f>'[3]Liver - GC Results (nmol g)'!Z36/1000</f>
        <v>0.17814247383367027</v>
      </c>
      <c r="AA36" s="18">
        <f>'[3]Liver - GC Results (nmol g)'!AA36/1000</f>
        <v>0.1798476526806855</v>
      </c>
      <c r="AB36" s="18">
        <f>'[3]Liver - GC Results (nmol g)'!AB36/1000</f>
        <v>0.14349432095296477</v>
      </c>
      <c r="AC36" s="18">
        <f>'[3]Liver - GC Results (nmol g)'!AC36/1000</f>
        <v>0.11888452326026219</v>
      </c>
      <c r="AD36" s="18">
        <f>'[3]Liver - GC Results (nmol g)'!AD36/1000</f>
        <v>0.11167871407331645</v>
      </c>
      <c r="AE36" s="18">
        <f>'[3]Liver - GC Results (nmol g)'!AE36/1000</f>
        <v>0.12234481908701593</v>
      </c>
      <c r="AF36" s="18">
        <f>'[3]Liver - GC Results (nmol g)'!AF36/1000</f>
        <v>0.2281451088479183</v>
      </c>
      <c r="AG36" s="18">
        <f>'[3]Liver - GC Results (nmol g)'!AG36/1000</f>
        <v>0.11887634871186667</v>
      </c>
      <c r="AH36" s="18">
        <f>'[3]Liver - GC Results (nmol g)'!AH36/1000</f>
        <v>0.1229077964308757</v>
      </c>
    </row>
    <row r="37" spans="1:34" x14ac:dyDescent="0.2">
      <c r="A37" t="s">
        <v>44</v>
      </c>
      <c r="C37" s="18">
        <f>'[3]Liver - GC Results (nmol g)'!C37/1000</f>
        <v>1.4921452060026373E-2</v>
      </c>
      <c r="D37" s="18">
        <f>'[3]Liver - GC Results (nmol g)'!D37/1000</f>
        <v>1.9735907349549827E-2</v>
      </c>
      <c r="E37" s="18">
        <f>'[3]Liver - GC Results (nmol g)'!E37/1000</f>
        <v>1.4486195886828765E-2</v>
      </c>
      <c r="F37" s="18">
        <f>'[3]Liver - GC Results (nmol g)'!F37/1000</f>
        <v>3.942068027885276E-2</v>
      </c>
      <c r="G37" s="18">
        <f>'[3]Liver - GC Results (nmol g)'!G37/1000</f>
        <v>1.4809764907335491E-2</v>
      </c>
      <c r="H37" s="18">
        <f>'[3]Liver - GC Results (nmol g)'!H37/1000</f>
        <v>1.0384913234412839E-2</v>
      </c>
      <c r="I37" s="18">
        <f>'[3]Liver - GC Results (nmol g)'!I37/1000</f>
        <v>1.577355192588395E-2</v>
      </c>
      <c r="J37" s="18"/>
      <c r="K37" s="18">
        <f>'[3]Liver - GC Results (nmol g)'!K37/1000</f>
        <v>2.6071850220898918E-2</v>
      </c>
      <c r="L37" s="18">
        <f>'[3]Liver - GC Results (nmol g)'!L37/1000</f>
        <v>1.669877129032258E-2</v>
      </c>
      <c r="M37" s="18"/>
      <c r="N37" s="18">
        <f>'[3]Liver - GC Results (nmol g)'!N37/1000</f>
        <v>1.5579942719429371E-2</v>
      </c>
      <c r="O37" s="18">
        <f>'[3]Liver - GC Results (nmol g)'!O37/1000</f>
        <v>1.2603508170294715E-2</v>
      </c>
      <c r="P37" s="18">
        <f>'[3]Liver - GC Results (nmol g)'!P37/1000</f>
        <v>1.3226078591217667E-2</v>
      </c>
      <c r="Q37" s="18">
        <f>'[3]Liver - GC Results (nmol g)'!Q37/1000</f>
        <v>1.413830395464463E-2</v>
      </c>
      <c r="R37" s="18">
        <f>'[3]Liver - GC Results (nmol g)'!R37/1000</f>
        <v>1.0898211577633864E-2</v>
      </c>
      <c r="S37" s="18">
        <f>'[3]Liver - GC Results (nmol g)'!S37/1000</f>
        <v>1.3239492668306286E-2</v>
      </c>
      <c r="T37" s="18">
        <f>'[3]Liver - GC Results (nmol g)'!T37/1000</f>
        <v>2.2710145307848182E-2</v>
      </c>
      <c r="U37" s="18">
        <f>'[3]Liver - GC Results (nmol g)'!U37/1000</f>
        <v>1.8244460686101069E-2</v>
      </c>
      <c r="V37" s="18">
        <f>'[3]Liver - GC Results (nmol g)'!V37/1000</f>
        <v>1.9491103477446925E-2</v>
      </c>
      <c r="W37" s="18">
        <f>'[3]Liver - GC Results (nmol g)'!W37/1000</f>
        <v>1.8460884711538478E-2</v>
      </c>
      <c r="X37" s="18"/>
      <c r="Y37" s="18"/>
      <c r="Z37" s="18">
        <f>'[3]Liver - GC Results (nmol g)'!Z37/1000</f>
        <v>2.1881478571976375E-2</v>
      </c>
      <c r="AA37" s="18">
        <f>'[3]Liver - GC Results (nmol g)'!AA37/1000</f>
        <v>1.8399092976333905E-2</v>
      </c>
      <c r="AB37" s="18">
        <f>'[3]Liver - GC Results (nmol g)'!AB37/1000</f>
        <v>1.5890321192842359E-2</v>
      </c>
      <c r="AC37" s="18">
        <f>'[3]Liver - GC Results (nmol g)'!AC37/1000</f>
        <v>2.6256454692271922E-2</v>
      </c>
      <c r="AD37" s="18">
        <f>'[3]Liver - GC Results (nmol g)'!AD37/1000</f>
        <v>1.2732943698046397E-2</v>
      </c>
      <c r="AE37" s="18">
        <f>'[3]Liver - GC Results (nmol g)'!AE37/1000</f>
        <v>1.2613037500716465E-2</v>
      </c>
      <c r="AF37" s="18">
        <f>'[3]Liver - GC Results (nmol g)'!AF37/1000</f>
        <v>1.499703195064595E-2</v>
      </c>
      <c r="AG37" s="18">
        <f>'[3]Liver - GC Results (nmol g)'!AG37/1000</f>
        <v>9.7298136534732255E-3</v>
      </c>
      <c r="AH37" s="18">
        <f>'[3]Liver - GC Results (nmol g)'!AH37/1000</f>
        <v>1.4673288130236089E-2</v>
      </c>
    </row>
    <row r="38" spans="1:34" x14ac:dyDescent="0.2">
      <c r="A38" t="s">
        <v>45</v>
      </c>
      <c r="C38" s="18">
        <f>'[3]Liver - GC Results (nmol g)'!C38/1000</f>
        <v>1.0200138252244077E-2</v>
      </c>
      <c r="D38" s="18">
        <f>'[3]Liver - GC Results (nmol g)'!D38/1000</f>
        <v>1.2236400408031051E-2</v>
      </c>
      <c r="E38" s="18">
        <f>'[3]Liver - GC Results (nmol g)'!E38/1000</f>
        <v>1.6159222884849195E-2</v>
      </c>
      <c r="F38" s="18">
        <f>'[3]Liver - GC Results (nmol g)'!F38/1000</f>
        <v>2.1825992447737631E-2</v>
      </c>
      <c r="G38" s="18">
        <f>'[3]Liver - GC Results (nmol g)'!G38/1000</f>
        <v>1.5025360672657077E-2</v>
      </c>
      <c r="H38" s="18">
        <f>'[3]Liver - GC Results (nmol g)'!H38/1000</f>
        <v>1.2338660883687982E-2</v>
      </c>
      <c r="I38" s="18">
        <f>'[3]Liver - GC Results (nmol g)'!I38/1000</f>
        <v>9.4070776225395093E-3</v>
      </c>
      <c r="J38" s="18"/>
      <c r="K38" s="18">
        <f>'[3]Liver - GC Results (nmol g)'!K38/1000</f>
        <v>2.686426215125659E-2</v>
      </c>
      <c r="L38" s="18">
        <f>'[3]Liver - GC Results (nmol g)'!L38/1000</f>
        <v>5.6117155967741937E-2</v>
      </c>
      <c r="M38" s="18"/>
      <c r="N38" s="18">
        <f>'[3]Liver - GC Results (nmol g)'!N38/1000</f>
        <v>0.10529475487846331</v>
      </c>
      <c r="O38" s="18">
        <f>'[3]Liver - GC Results (nmol g)'!O38/1000</f>
        <v>2.8608412661509812E-2</v>
      </c>
      <c r="P38" s="18">
        <f>'[3]Liver - GC Results (nmol g)'!P38/1000</f>
        <v>1.8507464268993332E-2</v>
      </c>
      <c r="Q38" s="18">
        <f>'[3]Liver - GC Results (nmol g)'!Q38/1000</f>
        <v>4.9562624472134678E-2</v>
      </c>
      <c r="R38" s="18">
        <f>'[3]Liver - GC Results (nmol g)'!R38/1000</f>
        <v>6.0408496721683948E-2</v>
      </c>
      <c r="S38" s="18">
        <f>'[3]Liver - GC Results (nmol g)'!S38/1000</f>
        <v>6.6775033155605304E-2</v>
      </c>
      <c r="T38" s="18">
        <f>'[3]Liver - GC Results (nmol g)'!T38/1000</f>
        <v>1.7445699772626007E-2</v>
      </c>
      <c r="U38" s="18">
        <f>'[3]Liver - GC Results (nmol g)'!U38/1000</f>
        <v>4.6610214541035921E-2</v>
      </c>
      <c r="V38" s="18">
        <f>'[3]Liver - GC Results (nmol g)'!V38/1000</f>
        <v>3.648936263293312E-2</v>
      </c>
      <c r="W38" s="18">
        <f>'[3]Liver - GC Results (nmol g)'!W38/1000</f>
        <v>4.1598333262957844E-2</v>
      </c>
      <c r="X38" s="18"/>
      <c r="Y38" s="18"/>
      <c r="Z38" s="18">
        <f>'[3]Liver - GC Results (nmol g)'!Z38/1000</f>
        <v>1.6479970918355458E-2</v>
      </c>
      <c r="AA38" s="18">
        <f>'[3]Liver - GC Results (nmol g)'!AA38/1000</f>
        <v>2.2383622247183124E-2</v>
      </c>
      <c r="AB38" s="18">
        <f>'[3]Liver - GC Results (nmol g)'!AB38/1000</f>
        <v>1.4161444115073136E-2</v>
      </c>
      <c r="AC38" s="18">
        <f>'[3]Liver - GC Results (nmol g)'!AC38/1000</f>
        <v>1.4237923050661414E-2</v>
      </c>
      <c r="AD38" s="18">
        <f>'[3]Liver - GC Results (nmol g)'!AD38/1000</f>
        <v>9.8578194989294484E-3</v>
      </c>
      <c r="AE38" s="18">
        <f>'[3]Liver - GC Results (nmol g)'!AE38/1000</f>
        <v>1.2221944973825416E-2</v>
      </c>
      <c r="AF38" s="18">
        <f>'[3]Liver - GC Results (nmol g)'!AF38/1000</f>
        <v>1.2111590202168801E-2</v>
      </c>
      <c r="AG38" s="18">
        <f>'[3]Liver - GC Results (nmol g)'!AG38/1000</f>
        <v>1.3589214548818049E-2</v>
      </c>
      <c r="AH38" s="18">
        <f>'[3]Liver - GC Results (nmol g)'!AH38/1000</f>
        <v>1.4802181331852267E-2</v>
      </c>
    </row>
    <row r="39" spans="1:34" x14ac:dyDescent="0.2">
      <c r="A39" t="s">
        <v>46</v>
      </c>
      <c r="C39" s="18">
        <f>'[3]Liver - GC Results (nmol g)'!C39/1000</f>
        <v>7.5417960968382908E-3</v>
      </c>
      <c r="D39" s="18">
        <f>'[3]Liver - GC Results (nmol g)'!D39/1000</f>
        <v>7.9421510512767551E-3</v>
      </c>
      <c r="E39" s="18">
        <f>'[3]Liver - GC Results (nmol g)'!E39/1000</f>
        <v>5.7780719252740649E-3</v>
      </c>
      <c r="F39" s="18">
        <f>'[3]Liver - GC Results (nmol g)'!F39/1000</f>
        <v>8.4164149262255343E-3</v>
      </c>
      <c r="G39" s="18">
        <f>'[3]Liver - GC Results (nmol g)'!G39/1000</f>
        <v>8.9286764886871497E-3</v>
      </c>
      <c r="H39" s="18">
        <f>'[3]Liver - GC Results (nmol g)'!H39/1000</f>
        <v>5.8134839565024557E-3</v>
      </c>
      <c r="I39" s="18">
        <f>'[3]Liver - GC Results (nmol g)'!I39/1000</f>
        <v>4.8104891332700975E-3</v>
      </c>
      <c r="J39" s="18"/>
      <c r="K39" s="18">
        <f>'[3]Liver - GC Results (nmol g)'!K39/1000</f>
        <v>8.717739211833983E-3</v>
      </c>
      <c r="L39" s="18">
        <f>'[3]Liver - GC Results (nmol g)'!L39/1000</f>
        <v>5.0765816129032257E-3</v>
      </c>
      <c r="M39" s="18"/>
      <c r="N39" s="18">
        <f>'[3]Liver - GC Results (nmol g)'!N39/1000</f>
        <v>3.9071595020922171E-3</v>
      </c>
      <c r="O39" s="18">
        <f>'[3]Liver - GC Results (nmol g)'!O39/1000</f>
        <v>4.492533671824451E-3</v>
      </c>
      <c r="P39" s="18">
        <f>'[3]Liver - GC Results (nmol g)'!P39/1000</f>
        <v>5.1949035374996514E-3</v>
      </c>
      <c r="Q39" s="18">
        <f>'[3]Liver - GC Results (nmol g)'!Q39/1000</f>
        <v>5.9591704820822012E-3</v>
      </c>
      <c r="R39" s="18">
        <f>'[3]Liver - GC Results (nmol g)'!R39/1000</f>
        <v>3.2591731922779099E-3</v>
      </c>
      <c r="S39" s="18">
        <f>'[3]Liver - GC Results (nmol g)'!S39/1000</f>
        <v>4.7291591888514485E-3</v>
      </c>
      <c r="T39" s="18">
        <f>'[3]Liver - GC Results (nmol g)'!T39/1000</f>
        <v>8.2399612987550056E-3</v>
      </c>
      <c r="U39" s="18">
        <f>'[3]Liver - GC Results (nmol g)'!U39/1000</f>
        <v>9.5607161083375199E-3</v>
      </c>
      <c r="V39" s="18">
        <f>'[3]Liver - GC Results (nmol g)'!V39/1000</f>
        <v>7.2806711173672009E-3</v>
      </c>
      <c r="W39" s="18">
        <f>'[3]Liver - GC Results (nmol g)'!W39/1000</f>
        <v>7.0447459562066848E-3</v>
      </c>
      <c r="X39" s="18"/>
      <c r="Y39" s="18"/>
      <c r="Z39" s="18">
        <f>'[3]Liver - GC Results (nmol g)'!Z39/1000</f>
        <v>6.7031896868543685E-3</v>
      </c>
      <c r="AA39" s="18">
        <f>'[3]Liver - GC Results (nmol g)'!AA39/1000</f>
        <v>9.0564517624143193E-3</v>
      </c>
      <c r="AB39" s="18">
        <f>'[3]Liver - GC Results (nmol g)'!AB39/1000</f>
        <v>6.8376977090437302E-3</v>
      </c>
      <c r="AC39" s="18">
        <f>'[3]Liver - GC Results (nmol g)'!AC39/1000</f>
        <v>0</v>
      </c>
      <c r="AD39" s="18">
        <f>'[3]Liver - GC Results (nmol g)'!AD39/1000</f>
        <v>0</v>
      </c>
      <c r="AE39" s="18">
        <f>'[3]Liver - GC Results (nmol g)'!AE39/1000</f>
        <v>0</v>
      </c>
      <c r="AF39" s="18">
        <f>'[3]Liver - GC Results (nmol g)'!AF39/1000</f>
        <v>0</v>
      </c>
      <c r="AG39" s="18">
        <f>'[3]Liver - GC Results (nmol g)'!AG39/1000</f>
        <v>0</v>
      </c>
      <c r="AH39" s="18">
        <f>'[3]Liver - GC Results (nmol g)'!AH39/1000</f>
        <v>0</v>
      </c>
    </row>
    <row r="40" spans="1:34" x14ac:dyDescent="0.2">
      <c r="A40" t="s">
        <v>47</v>
      </c>
      <c r="C40" s="18">
        <f>'[3]Liver - GC Results (nmol g)'!C40/1000</f>
        <v>0.25234549768780357</v>
      </c>
      <c r="D40" s="18">
        <f>'[3]Liver - GC Results (nmol g)'!D40/1000</f>
        <v>0.14543738031752526</v>
      </c>
      <c r="E40" s="18">
        <f>'[3]Liver - GC Results (nmol g)'!E40/1000</f>
        <v>0.17800847473604409</v>
      </c>
      <c r="F40" s="18">
        <f>'[3]Liver - GC Results (nmol g)'!F40/1000</f>
        <v>0.29814469001050542</v>
      </c>
      <c r="G40" s="18">
        <f>'[3]Liver - GC Results (nmol g)'!G40/1000</f>
        <v>0.19352327991572105</v>
      </c>
      <c r="H40" s="18">
        <f>'[3]Liver - GC Results (nmol g)'!H40/1000</f>
        <v>0.21478393581304209</v>
      </c>
      <c r="I40" s="18">
        <f>'[3]Liver - GC Results (nmol g)'!I40/1000</f>
        <v>0.18402195313757166</v>
      </c>
      <c r="J40" s="18"/>
      <c r="K40" s="18">
        <f>'[3]Liver - GC Results (nmol g)'!K40/1000</f>
        <v>0.30373963098557943</v>
      </c>
      <c r="L40" s="18">
        <f>'[3]Liver - GC Results (nmol g)'!L40/1000</f>
        <v>0.34904045274193551</v>
      </c>
      <c r="M40" s="18"/>
      <c r="N40" s="18">
        <f>'[3]Liver - GC Results (nmol g)'!N40/1000</f>
        <v>0.63068972229984688</v>
      </c>
      <c r="O40" s="18">
        <f>'[3]Liver - GC Results (nmol g)'!O40/1000</f>
        <v>0.17676405684927582</v>
      </c>
      <c r="P40" s="18">
        <f>'[3]Liver - GC Results (nmol g)'!P40/1000</f>
        <v>7.9405600815883007E-2</v>
      </c>
      <c r="Q40" s="18">
        <f>'[3]Liver - GC Results (nmol g)'!Q40/1000</f>
        <v>0.23791981327224371</v>
      </c>
      <c r="R40" s="18">
        <f>'[3]Liver - GC Results (nmol g)'!R40/1000</f>
        <v>0.24610149184921795</v>
      </c>
      <c r="S40" s="18">
        <f>'[3]Liver - GC Results (nmol g)'!S40/1000</f>
        <v>0.3067882834966375</v>
      </c>
      <c r="T40" s="18">
        <f>'[3]Liver - GC Results (nmol g)'!T40/1000</f>
        <v>0.11838252413194826</v>
      </c>
      <c r="U40" s="18">
        <f>'[3]Liver - GC Results (nmol g)'!U40/1000</f>
        <v>0.26247974739693164</v>
      </c>
      <c r="V40" s="18">
        <f>'[3]Liver - GC Results (nmol g)'!V40/1000</f>
        <v>0.2381405284905927</v>
      </c>
      <c r="W40" s="18">
        <f>'[3]Liver - GC Results (nmol g)'!W40/1000</f>
        <v>0.20362912998451266</v>
      </c>
      <c r="X40" s="18"/>
      <c r="Y40" s="18"/>
      <c r="Z40" s="18">
        <f>'[3]Liver - GC Results (nmol g)'!Z40/1000</f>
        <v>0.11792664304921761</v>
      </c>
      <c r="AA40" s="18">
        <f>'[3]Liver - GC Results (nmol g)'!AA40/1000</f>
        <v>0.15279604817429007</v>
      </c>
      <c r="AB40" s="18">
        <f>'[3]Liver - GC Results (nmol g)'!AB40/1000</f>
        <v>0.1083337678263266</v>
      </c>
      <c r="AC40" s="18">
        <f>'[3]Liver - GC Results (nmol g)'!AC40/1000</f>
        <v>0.112684770211174</v>
      </c>
      <c r="AD40" s="18">
        <f>'[3]Liver - GC Results (nmol g)'!AD40/1000</f>
        <v>7.9068274889502604E-2</v>
      </c>
      <c r="AE40" s="18">
        <f>'[3]Liver - GC Results (nmol g)'!AE40/1000</f>
        <v>6.5258883000915202E-2</v>
      </c>
      <c r="AF40" s="18">
        <f>'[3]Liver - GC Results (nmol g)'!AF40/1000</f>
        <v>0.14691782097775785</v>
      </c>
      <c r="AG40" s="18">
        <f>'[3]Liver - GC Results (nmol g)'!AG40/1000</f>
        <v>5.6205284895307392E-2</v>
      </c>
      <c r="AH40" s="18">
        <f>'[3]Liver - GC Results (nmol g)'!AH40/1000</f>
        <v>6.6163014455402236E-2</v>
      </c>
    </row>
    <row r="41" spans="1:34" x14ac:dyDescent="0.2">
      <c r="A41" s="3"/>
      <c r="B41" s="3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8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x14ac:dyDescent="0.2">
      <c r="A42" s="10" t="s">
        <v>48</v>
      </c>
      <c r="B42" s="3"/>
      <c r="C42" s="11">
        <f>SUM(C26:C40)</f>
        <v>9.138753096112076</v>
      </c>
      <c r="D42" s="11">
        <f t="shared" ref="D42:AH42" si="1">SUM(D26:D40)</f>
        <v>6.8685971258403882</v>
      </c>
      <c r="E42" s="11">
        <f t="shared" si="1"/>
        <v>7.5707805442659044</v>
      </c>
      <c r="F42" s="11">
        <f t="shared" si="1"/>
        <v>18.286534089905345</v>
      </c>
      <c r="G42" s="11">
        <f t="shared" si="1"/>
        <v>7.4839331513246341</v>
      </c>
      <c r="H42" s="11">
        <f t="shared" si="1"/>
        <v>7.5126603794378539</v>
      </c>
      <c r="I42" s="11">
        <f t="shared" si="1"/>
        <v>8.3465677219802554</v>
      </c>
      <c r="J42" s="11"/>
      <c r="K42" s="11">
        <f t="shared" si="1"/>
        <v>13.069439308391503</v>
      </c>
      <c r="L42" s="11">
        <f t="shared" si="1"/>
        <v>14.269544657741932</v>
      </c>
      <c r="M42" s="11"/>
      <c r="N42" s="11">
        <f t="shared" si="1"/>
        <v>21.185152318173607</v>
      </c>
      <c r="O42" s="11">
        <f t="shared" si="1"/>
        <v>10.547338319756925</v>
      </c>
      <c r="P42" s="11">
        <f t="shared" si="1"/>
        <v>7.3889724216264652</v>
      </c>
      <c r="Q42" s="11">
        <f t="shared" si="1"/>
        <v>10.918920152802487</v>
      </c>
      <c r="R42" s="11">
        <f t="shared" si="1"/>
        <v>11.167989513260679</v>
      </c>
      <c r="S42" s="11">
        <f t="shared" si="1"/>
        <v>12.238287151888681</v>
      </c>
      <c r="T42" s="11">
        <f t="shared" si="1"/>
        <v>6.8209089600392492</v>
      </c>
      <c r="U42" s="11">
        <f t="shared" si="1"/>
        <v>12.108543064452036</v>
      </c>
      <c r="V42" s="11">
        <f t="shared" si="1"/>
        <v>12.074213344774575</v>
      </c>
      <c r="W42" s="11">
        <f t="shared" si="1"/>
        <v>11.289809405310899</v>
      </c>
      <c r="X42" s="11"/>
      <c r="Y42" s="11"/>
      <c r="Z42" s="11">
        <f t="shared" si="1"/>
        <v>7.367790309660303</v>
      </c>
      <c r="AA42" s="11">
        <f t="shared" si="1"/>
        <v>9.9539032025665986</v>
      </c>
      <c r="AB42" s="11">
        <f t="shared" si="1"/>
        <v>6.7510723626026188</v>
      </c>
      <c r="AC42" s="11">
        <f t="shared" si="1"/>
        <v>6.2937582325340387</v>
      </c>
      <c r="AD42" s="11">
        <f t="shared" si="1"/>
        <v>7.846623585076772</v>
      </c>
      <c r="AE42" s="11">
        <f t="shared" si="1"/>
        <v>5.3295780285517536</v>
      </c>
      <c r="AF42" s="11">
        <f t="shared" si="1"/>
        <v>7.4955954369323088</v>
      </c>
      <c r="AG42" s="11">
        <f t="shared" si="1"/>
        <v>4.9654633162431177</v>
      </c>
      <c r="AH42" s="11">
        <f t="shared" si="1"/>
        <v>5.4248590360729834</v>
      </c>
    </row>
    <row r="43" spans="1:34" x14ac:dyDescent="0.2">
      <c r="A43" s="4"/>
      <c r="B43" s="21" t="s">
        <v>114</v>
      </c>
      <c r="C43" s="22">
        <f>AVERAGE(C42:L42)</f>
        <v>10.282978897222211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22">
        <f>AVERAGE(N42:W42)</f>
        <v>11.57401346520856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22">
        <f>AVERAGE(Y42:AH42)</f>
        <v>6.8254048344711649</v>
      </c>
      <c r="Z43" s="12"/>
      <c r="AA43" s="12"/>
      <c r="AB43" s="12"/>
      <c r="AC43" s="12"/>
      <c r="AD43" s="12"/>
      <c r="AE43" s="12"/>
      <c r="AF43" s="12"/>
      <c r="AG43" s="12"/>
      <c r="AH43" s="12"/>
    </row>
    <row r="44" spans="1:34" x14ac:dyDescent="0.2">
      <c r="B44" s="21" t="s">
        <v>115</v>
      </c>
      <c r="C44" s="22">
        <f>STDEV(C42:L42)</f>
        <v>3.9889887408330797</v>
      </c>
      <c r="N44" s="22">
        <f>STDEV(N42:W42)</f>
        <v>3.8756587808005496</v>
      </c>
      <c r="Y44" s="22">
        <f>STDEV(Y42:AH42)</f>
        <v>1.5620623173692372</v>
      </c>
    </row>
    <row r="46" spans="1:34" ht="16" x14ac:dyDescent="0.2">
      <c r="A46" s="2" t="s">
        <v>51</v>
      </c>
      <c r="B46" s="3"/>
    </row>
    <row r="47" spans="1:34" x14ac:dyDescent="0.2">
      <c r="A47" s="4" t="s">
        <v>2</v>
      </c>
      <c r="C47" s="7" t="s">
        <v>84</v>
      </c>
      <c r="D47" s="7" t="s">
        <v>85</v>
      </c>
      <c r="E47" s="7" t="s">
        <v>86</v>
      </c>
      <c r="F47" s="7" t="s">
        <v>87</v>
      </c>
      <c r="G47" s="7" t="s">
        <v>88</v>
      </c>
      <c r="H47" s="7" t="s">
        <v>89</v>
      </c>
      <c r="I47" s="7" t="s">
        <v>90</v>
      </c>
      <c r="J47" s="7" t="s">
        <v>91</v>
      </c>
      <c r="K47" s="7" t="s">
        <v>92</v>
      </c>
      <c r="L47" s="7" t="s">
        <v>93</v>
      </c>
      <c r="M47" s="19"/>
      <c r="N47" s="7" t="s">
        <v>94</v>
      </c>
      <c r="O47" s="7" t="s">
        <v>95</v>
      </c>
      <c r="P47" s="7" t="s">
        <v>96</v>
      </c>
      <c r="Q47" s="7" t="s">
        <v>97</v>
      </c>
      <c r="R47" s="7" t="s">
        <v>98</v>
      </c>
      <c r="S47" s="7" t="s">
        <v>99</v>
      </c>
      <c r="T47" s="7" t="s">
        <v>100</v>
      </c>
      <c r="U47" s="7" t="s">
        <v>101</v>
      </c>
      <c r="V47" s="7" t="s">
        <v>102</v>
      </c>
      <c r="W47" s="7" t="s">
        <v>103</v>
      </c>
      <c r="X47" s="19"/>
      <c r="Y47" s="7" t="s">
        <v>104</v>
      </c>
      <c r="Z47" s="7" t="s">
        <v>105</v>
      </c>
      <c r="AA47" s="7" t="s">
        <v>106</v>
      </c>
      <c r="AB47" s="7" t="s">
        <v>107</v>
      </c>
      <c r="AC47" s="7" t="s">
        <v>108</v>
      </c>
      <c r="AD47" s="7" t="s">
        <v>109</v>
      </c>
      <c r="AE47" s="7" t="s">
        <v>110</v>
      </c>
      <c r="AF47" s="7" t="s">
        <v>111</v>
      </c>
      <c r="AG47" s="7" t="s">
        <v>112</v>
      </c>
      <c r="AH47" s="7" t="s">
        <v>113</v>
      </c>
    </row>
    <row r="48" spans="1:34" x14ac:dyDescent="0.2">
      <c r="A48" t="s">
        <v>33</v>
      </c>
      <c r="C48" s="18">
        <f>'[3]Liver - GC Results (nmol g)'!C48/1000</f>
        <v>5.7641381817028625</v>
      </c>
      <c r="D48" s="18">
        <f>'[3]Liver - GC Results (nmol g)'!D48/1000</f>
        <v>3.7082685254654746</v>
      </c>
      <c r="E48" s="18">
        <f>'[3]Liver - GC Results (nmol g)'!E48/1000</f>
        <v>5.8336433268196224</v>
      </c>
      <c r="F48" s="18">
        <f>'[3]Liver - GC Results (nmol g)'!F48/1000</f>
        <v>6.0597210986437391</v>
      </c>
      <c r="G48" s="18">
        <f>'[3]Liver - GC Results (nmol g)'!G48/1000</f>
        <v>4.3307629493787827</v>
      </c>
      <c r="H48" s="18">
        <f>'[3]Liver - GC Results (nmol g)'!H48/1000</f>
        <v>2.9195018225099671</v>
      </c>
      <c r="I48" s="18">
        <f>'[3]Liver - GC Results (nmol g)'!I48/1000</f>
        <v>4.3883379659734176</v>
      </c>
      <c r="J48" s="18">
        <f>'[3]Liver - GC Results (nmol g)'!J48/1000</f>
        <v>7.7530884384349568</v>
      </c>
      <c r="K48" s="18">
        <f>'[3]Liver - GC Results (nmol g)'!K48/1000</f>
        <v>7.3978179254371739</v>
      </c>
      <c r="L48" s="18">
        <f>'[3]Liver - GC Results (nmol g)'!L48/1000</f>
        <v>5.598660651995699</v>
      </c>
      <c r="M48" s="18"/>
      <c r="N48" s="18">
        <f>'[3]Liver - GC Results (nmol g)'!N48/1000</f>
        <v>2.0248426993696222</v>
      </c>
      <c r="O48" s="18">
        <f>'[3]Liver - GC Results (nmol g)'!O48/1000</f>
        <v>1.4563635614596078</v>
      </c>
      <c r="P48" s="18">
        <f>'[3]Liver - GC Results (nmol g)'!P48/1000</f>
        <v>2.4984132759096846</v>
      </c>
      <c r="Q48" s="18">
        <f>'[3]Liver - GC Results (nmol g)'!Q48/1000</f>
        <v>2.8952999505183969</v>
      </c>
      <c r="R48" s="18">
        <f>'[3]Liver - GC Results (nmol g)'!R48/1000</f>
        <v>1.4858194054118747</v>
      </c>
      <c r="S48" s="18">
        <f>'[3]Liver - GC Results (nmol g)'!S48/1000</f>
        <v>1.7277512945201534</v>
      </c>
      <c r="T48" s="18">
        <f>'[3]Liver - GC Results (nmol g)'!T48/1000</f>
        <v>1.6829172808436419</v>
      </c>
      <c r="U48" s="18">
        <f>'[3]Liver - GC Results (nmol g)'!U48/1000</f>
        <v>3.4979350625509373</v>
      </c>
      <c r="V48" s="18">
        <f>'[3]Liver - GC Results (nmol g)'!V48/1000</f>
        <v>3.3812894484088662</v>
      </c>
      <c r="W48" s="18">
        <f>'[3]Liver - GC Results (nmol g)'!W48/1000</f>
        <v>2.7390134043892256</v>
      </c>
      <c r="X48" s="18"/>
      <c r="Y48" s="18">
        <f>'[3]Liver - GC Results (nmol g)'!Y48/1000</f>
        <v>0.92865072663310733</v>
      </c>
      <c r="Z48" s="18">
        <f>'[3]Liver - GC Results (nmol g)'!Z48/1000</f>
        <v>0.93894987666737229</v>
      </c>
      <c r="AA48" s="18">
        <f>'[3]Liver - GC Results (nmol g)'!AA48/1000</f>
        <v>1.7587662753378297</v>
      </c>
      <c r="AB48" s="18">
        <f>'[3]Liver - GC Results (nmol g)'!AB48/1000</f>
        <v>1.7621291801100136</v>
      </c>
      <c r="AC48" s="18">
        <f>'[3]Liver - GC Results (nmol g)'!AC48/1000</f>
        <v>2.7280721217019677</v>
      </c>
      <c r="AD48" s="18">
        <f>'[3]Liver - GC Results (nmol g)'!AD48/1000</f>
        <v>3.6695991922109221</v>
      </c>
      <c r="AE48" s="18">
        <f>'[3]Liver - GC Results (nmol g)'!AE48/1000</f>
        <v>2.6340883363508416</v>
      </c>
      <c r="AF48" s="18">
        <f>'[3]Liver - GC Results (nmol g)'!AF48/1000</f>
        <v>3.2389996988675724</v>
      </c>
      <c r="AG48" s="18">
        <f>'[3]Liver - GC Results (nmol g)'!AG48/1000</f>
        <v>0.8288804993315001</v>
      </c>
      <c r="AH48" s="18">
        <f>'[3]Liver - GC Results (nmol g)'!AH48/1000</f>
        <v>2.3470181145040563</v>
      </c>
    </row>
    <row r="49" spans="1:34" x14ac:dyDescent="0.2">
      <c r="A49" t="s">
        <v>35</v>
      </c>
      <c r="C49" s="18">
        <f>'[3]Liver - GC Results (nmol g)'!C49/1000</f>
        <v>290.02556499312061</v>
      </c>
      <c r="D49" s="18">
        <f>'[3]Liver - GC Results (nmol g)'!D49/1000</f>
        <v>184.88872154302481</v>
      </c>
      <c r="E49" s="18">
        <f>'[3]Liver - GC Results (nmol g)'!E49/1000</f>
        <v>273.06261486789123</v>
      </c>
      <c r="F49" s="18">
        <f>'[3]Liver - GC Results (nmol g)'!F49/1000</f>
        <v>254.69441099711318</v>
      </c>
      <c r="G49" s="18">
        <f>'[3]Liver - GC Results (nmol g)'!G49/1000</f>
        <v>202.83970411439813</v>
      </c>
      <c r="H49" s="18">
        <f>'[3]Liver - GC Results (nmol g)'!H49/1000</f>
        <v>184.73970841715544</v>
      </c>
      <c r="I49" s="18">
        <f>'[3]Liver - GC Results (nmol g)'!I49/1000</f>
        <v>232.40286968981852</v>
      </c>
      <c r="J49" s="18">
        <f>'[3]Liver - GC Results (nmol g)'!J49/1000</f>
        <v>336.53237783728531</v>
      </c>
      <c r="K49" s="18">
        <f>'[3]Liver - GC Results (nmol g)'!K49/1000</f>
        <v>348.34768321452367</v>
      </c>
      <c r="L49" s="18">
        <f>'[3]Liver - GC Results (nmol g)'!L49/1000</f>
        <v>272.23291906697006</v>
      </c>
      <c r="M49" s="18"/>
      <c r="N49" s="18">
        <f>'[3]Liver - GC Results (nmol g)'!N49/1000</f>
        <v>141.39281047681393</v>
      </c>
      <c r="O49" s="18">
        <f>'[3]Liver - GC Results (nmol g)'!O49/1000</f>
        <v>83.819844564938833</v>
      </c>
      <c r="P49" s="18">
        <f>'[3]Liver - GC Results (nmol g)'!P49/1000</f>
        <v>87.133150570862171</v>
      </c>
      <c r="Q49" s="18">
        <f>'[3]Liver - GC Results (nmol g)'!Q49/1000</f>
        <v>170.29858992164364</v>
      </c>
      <c r="R49" s="18">
        <f>'[3]Liver - GC Results (nmol g)'!R49/1000</f>
        <v>93.757648332699219</v>
      </c>
      <c r="S49" s="18">
        <f>'[3]Liver - GC Results (nmol g)'!S49/1000</f>
        <v>102.45645045874504</v>
      </c>
      <c r="T49" s="18">
        <f>'[3]Liver - GC Results (nmol g)'!T49/1000</f>
        <v>91.745505825878197</v>
      </c>
      <c r="U49" s="18">
        <f>'[3]Liver - GC Results (nmol g)'!U49/1000</f>
        <v>198.69220163171929</v>
      </c>
      <c r="V49" s="18">
        <f>'[3]Liver - GC Results (nmol g)'!V49/1000</f>
        <v>171.57623160583762</v>
      </c>
      <c r="W49" s="18">
        <f>'[3]Liver - GC Results (nmol g)'!W49/1000</f>
        <v>136.88396720191659</v>
      </c>
      <c r="X49" s="18"/>
      <c r="Y49" s="18">
        <f>'[3]Liver - GC Results (nmol g)'!Y49/1000</f>
        <v>68.244407031556165</v>
      </c>
      <c r="Z49" s="18">
        <f>'[3]Liver - GC Results (nmol g)'!Z49/1000</f>
        <v>65.232731924779202</v>
      </c>
      <c r="AA49" s="18">
        <f>'[3]Liver - GC Results (nmol g)'!AA49/1000</f>
        <v>133.79734441939175</v>
      </c>
      <c r="AB49" s="18">
        <f>'[3]Liver - GC Results (nmol g)'!AB49/1000</f>
        <v>107.99972308636326</v>
      </c>
      <c r="AC49" s="18">
        <f>'[3]Liver - GC Results (nmol g)'!AC49/1000</f>
        <v>145.1486851546899</v>
      </c>
      <c r="AD49" s="18">
        <f>'[3]Liver - GC Results (nmol g)'!AD49/1000</f>
        <v>127.38992007017212</v>
      </c>
      <c r="AE49" s="18">
        <f>'[3]Liver - GC Results (nmol g)'!AE49/1000</f>
        <v>75.429985845198814</v>
      </c>
      <c r="AF49" s="18">
        <f>'[3]Liver - GC Results (nmol g)'!AF49/1000</f>
        <v>154.37409307558121</v>
      </c>
      <c r="AG49" s="18">
        <f>'[3]Liver - GC Results (nmol g)'!AG49/1000</f>
        <v>49.067690446549882</v>
      </c>
      <c r="AH49" s="18">
        <f>'[3]Liver - GC Results (nmol g)'!AH49/1000</f>
        <v>73.824998562510558</v>
      </c>
    </row>
    <row r="50" spans="1:34" x14ac:dyDescent="0.2">
      <c r="A50" t="s">
        <v>36</v>
      </c>
      <c r="C50" s="18">
        <f>'[3]Liver - GC Results (nmol g)'!C50/1000</f>
        <v>29.998738284089619</v>
      </c>
      <c r="D50" s="18">
        <f>'[3]Liver - GC Results (nmol g)'!D50/1000</f>
        <v>17.412278751613112</v>
      </c>
      <c r="E50" s="18">
        <f>'[3]Liver - GC Results (nmol g)'!E50/1000</f>
        <v>29.979749907360077</v>
      </c>
      <c r="F50" s="18">
        <f>'[3]Liver - GC Results (nmol g)'!F50/1000</f>
        <v>37.813042198069958</v>
      </c>
      <c r="G50" s="18">
        <f>'[3]Liver - GC Results (nmol g)'!G50/1000</f>
        <v>22.029612154502207</v>
      </c>
      <c r="H50" s="18">
        <f>'[3]Liver - GC Results (nmol g)'!H50/1000</f>
        <v>13.801864109507788</v>
      </c>
      <c r="I50" s="18">
        <f>'[3]Liver - GC Results (nmol g)'!I50/1000</f>
        <v>22.15675796184124</v>
      </c>
      <c r="J50" s="18">
        <f>'[3]Liver - GC Results (nmol g)'!J50/1000</f>
        <v>52.586392137128072</v>
      </c>
      <c r="K50" s="18">
        <f>'[3]Liver - GC Results (nmol g)'!K50/1000</f>
        <v>43.810104113513376</v>
      </c>
      <c r="L50" s="18">
        <f>'[3]Liver - GC Results (nmol g)'!L50/1000</f>
        <v>33.512458546839717</v>
      </c>
      <c r="M50" s="18"/>
      <c r="N50" s="18">
        <f>'[3]Liver - GC Results (nmol g)'!N50/1000</f>
        <v>9.9704263565297975</v>
      </c>
      <c r="O50" s="18">
        <f>'[3]Liver - GC Results (nmol g)'!O50/1000</f>
        <v>4.8015901567494179</v>
      </c>
      <c r="P50" s="18">
        <f>'[3]Liver - GC Results (nmol g)'!P50/1000</f>
        <v>6.8250681038529306</v>
      </c>
      <c r="Q50" s="18">
        <f>'[3]Liver - GC Results (nmol g)'!Q50/1000</f>
        <v>15.028986196417316</v>
      </c>
      <c r="R50" s="18">
        <f>'[3]Liver - GC Results (nmol g)'!R50/1000</f>
        <v>5.8519410791918629</v>
      </c>
      <c r="S50" s="18">
        <f>'[3]Liver - GC Results (nmol g)'!S50/1000</f>
        <v>6.4153024405450472</v>
      </c>
      <c r="T50" s="18">
        <f>'[3]Liver - GC Results (nmol g)'!T50/1000</f>
        <v>6.6881293419195149</v>
      </c>
      <c r="U50" s="18">
        <f>'[3]Liver - GC Results (nmol g)'!U50/1000</f>
        <v>17.383329393241674</v>
      </c>
      <c r="V50" s="18">
        <f>'[3]Liver - GC Results (nmol g)'!V50/1000</f>
        <v>15.64649994401241</v>
      </c>
      <c r="W50" s="18">
        <f>'[3]Liver - GC Results (nmol g)'!W50/1000</f>
        <v>11.373956564777529</v>
      </c>
      <c r="X50" s="18"/>
      <c r="Y50" s="18">
        <f>'[3]Liver - GC Results (nmol g)'!Y50/1000</f>
        <v>3.5482085603549405</v>
      </c>
      <c r="Z50" s="18">
        <f>'[3]Liver - GC Results (nmol g)'!Z50/1000</f>
        <v>3.3447010650114475</v>
      </c>
      <c r="AA50" s="18">
        <f>'[3]Liver - GC Results (nmol g)'!AA50/1000</f>
        <v>8.133425811144166</v>
      </c>
      <c r="AB50" s="18">
        <f>'[3]Liver - GC Results (nmol g)'!AB50/1000</f>
        <v>8.7272994088806612</v>
      </c>
      <c r="AC50" s="18">
        <f>'[3]Liver - GC Results (nmol g)'!AC50/1000</f>
        <v>13.89514124792678</v>
      </c>
      <c r="AD50" s="18">
        <f>'[3]Liver - GC Results (nmol g)'!AD50/1000</f>
        <v>13.004741111345375</v>
      </c>
      <c r="AE50" s="18">
        <f>'[3]Liver - GC Results (nmol g)'!AE50/1000</f>
        <v>7.4514953893795752</v>
      </c>
      <c r="AF50" s="18">
        <f>'[3]Liver - GC Results (nmol g)'!AF50/1000</f>
        <v>12.364069051262051</v>
      </c>
      <c r="AG50" s="18">
        <f>'[3]Liver - GC Results (nmol g)'!AG50/1000</f>
        <v>2.9645438332760277</v>
      </c>
      <c r="AH50" s="18">
        <f>'[3]Liver - GC Results (nmol g)'!AH50/1000</f>
        <v>7.3067952970806598</v>
      </c>
    </row>
    <row r="51" spans="1:34" x14ac:dyDescent="0.2">
      <c r="A51" t="s">
        <v>50</v>
      </c>
      <c r="C51" s="18">
        <f>'[3]Liver - GC Results (nmol g)'!C51/1000</f>
        <v>0</v>
      </c>
      <c r="D51" s="18">
        <f>'[3]Liver - GC Results (nmol g)'!D51/1000</f>
        <v>0</v>
      </c>
      <c r="E51" s="18">
        <f>'[3]Liver - GC Results (nmol g)'!E51/1000</f>
        <v>0</v>
      </c>
      <c r="F51" s="18">
        <f>'[3]Liver - GC Results (nmol g)'!F51/1000</f>
        <v>0</v>
      </c>
      <c r="G51" s="18">
        <f>'[3]Liver - GC Results (nmol g)'!G51/1000</f>
        <v>0</v>
      </c>
      <c r="H51" s="18">
        <f>'[3]Liver - GC Results (nmol g)'!H51/1000</f>
        <v>0</v>
      </c>
      <c r="I51" s="18">
        <f>'[3]Liver - GC Results (nmol g)'!I51/1000</f>
        <v>0</v>
      </c>
      <c r="J51" s="18">
        <f>'[3]Liver - GC Results (nmol g)'!J51/1000</f>
        <v>0</v>
      </c>
      <c r="K51" s="18">
        <f>'[3]Liver - GC Results (nmol g)'!K51/1000</f>
        <v>0</v>
      </c>
      <c r="L51" s="18">
        <f>'[3]Liver - GC Results (nmol g)'!L51/1000</f>
        <v>0</v>
      </c>
      <c r="M51" s="18"/>
      <c r="N51" s="18">
        <f>'[3]Liver - GC Results (nmol g)'!N51/1000</f>
        <v>0</v>
      </c>
      <c r="O51" s="18">
        <f>'[3]Liver - GC Results (nmol g)'!O51/1000</f>
        <v>0</v>
      </c>
      <c r="P51" s="18">
        <f>'[3]Liver - GC Results (nmol g)'!P51/1000</f>
        <v>0</v>
      </c>
      <c r="Q51" s="18">
        <f>'[3]Liver - GC Results (nmol g)'!Q51/1000</f>
        <v>0</v>
      </c>
      <c r="R51" s="18">
        <f>'[3]Liver - GC Results (nmol g)'!R51/1000</f>
        <v>0</v>
      </c>
      <c r="S51" s="18">
        <f>'[3]Liver - GC Results (nmol g)'!S51/1000</f>
        <v>0</v>
      </c>
      <c r="T51" s="18">
        <f>'[3]Liver - GC Results (nmol g)'!T51/1000</f>
        <v>0</v>
      </c>
      <c r="U51" s="18">
        <f>'[3]Liver - GC Results (nmol g)'!U51/1000</f>
        <v>0</v>
      </c>
      <c r="V51" s="18">
        <f>'[3]Liver - GC Results (nmol g)'!V51/1000</f>
        <v>0</v>
      </c>
      <c r="W51" s="18">
        <f>'[3]Liver - GC Results (nmol g)'!W51/1000</f>
        <v>0</v>
      </c>
      <c r="X51" s="18"/>
      <c r="Y51" s="18">
        <f>'[3]Liver - GC Results (nmol g)'!Y51/1000</f>
        <v>0</v>
      </c>
      <c r="Z51" s="18">
        <f>'[3]Liver - GC Results (nmol g)'!Z51/1000</f>
        <v>0</v>
      </c>
      <c r="AA51" s="18">
        <f>'[3]Liver - GC Results (nmol g)'!AA51/1000</f>
        <v>0</v>
      </c>
      <c r="AB51" s="18">
        <f>'[3]Liver - GC Results (nmol g)'!AB51/1000</f>
        <v>0</v>
      </c>
      <c r="AC51" s="18">
        <f>'[3]Liver - GC Results (nmol g)'!AC51/1000</f>
        <v>0</v>
      </c>
      <c r="AD51" s="18">
        <f>'[3]Liver - GC Results (nmol g)'!AD51/1000</f>
        <v>0</v>
      </c>
      <c r="AE51" s="18">
        <f>'[3]Liver - GC Results (nmol g)'!AE51/1000</f>
        <v>0</v>
      </c>
      <c r="AF51" s="18">
        <f>'[3]Liver - GC Results (nmol g)'!AF51/1000</f>
        <v>0</v>
      </c>
      <c r="AG51" s="18">
        <f>'[3]Liver - GC Results (nmol g)'!AG51/1000</f>
        <v>0</v>
      </c>
      <c r="AH51" s="18">
        <f>'[3]Liver - GC Results (nmol g)'!AH51/1000</f>
        <v>0</v>
      </c>
    </row>
    <row r="52" spans="1:34" x14ac:dyDescent="0.2">
      <c r="A52" t="s">
        <v>37</v>
      </c>
      <c r="C52" s="18">
        <f>'[3]Liver - GC Results (nmol g)'!C52/1000</f>
        <v>18.549079301758763</v>
      </c>
      <c r="D52" s="18">
        <f>'[3]Liver - GC Results (nmol g)'!D52/1000</f>
        <v>14.852243751175534</v>
      </c>
      <c r="E52" s="18">
        <f>'[3]Liver - GC Results (nmol g)'!E52/1000</f>
        <v>15.7989609580939</v>
      </c>
      <c r="F52" s="18">
        <f>'[3]Liver - GC Results (nmol g)'!F52/1000</f>
        <v>14.709717725329051</v>
      </c>
      <c r="G52" s="18">
        <f>'[3]Liver - GC Results (nmol g)'!G52/1000</f>
        <v>12.910391389861418</v>
      </c>
      <c r="H52" s="18">
        <f>'[3]Liver - GC Results (nmol g)'!H52/1000</f>
        <v>10.85638306414338</v>
      </c>
      <c r="I52" s="18">
        <f>'[3]Liver - GC Results (nmol g)'!I52/1000</f>
        <v>13.762267952162583</v>
      </c>
      <c r="J52" s="18">
        <f>'[3]Liver - GC Results (nmol g)'!J52/1000</f>
        <v>23.473859570811921</v>
      </c>
      <c r="K52" s="18">
        <f>'[3]Liver - GC Results (nmol g)'!K52/1000</f>
        <v>19.510436236462123</v>
      </c>
      <c r="L52" s="18">
        <f>'[3]Liver - GC Results (nmol g)'!L52/1000</f>
        <v>16.945505531914929</v>
      </c>
      <c r="M52" s="18"/>
      <c r="N52" s="18">
        <f>'[3]Liver - GC Results (nmol g)'!N52/1000</f>
        <v>9.4866319158766039</v>
      </c>
      <c r="O52" s="18">
        <f>'[3]Liver - GC Results (nmol g)'!O52/1000</f>
        <v>7.9793578977341522</v>
      </c>
      <c r="P52" s="18">
        <f>'[3]Liver - GC Results (nmol g)'!P52/1000</f>
        <v>12.551266869957768</v>
      </c>
      <c r="Q52" s="18">
        <f>'[3]Liver - GC Results (nmol g)'!Q52/1000</f>
        <v>10.18483974723889</v>
      </c>
      <c r="R52" s="18">
        <f>'[3]Liver - GC Results (nmol g)'!R52/1000</f>
        <v>7.3447461374584249</v>
      </c>
      <c r="S52" s="18">
        <f>'[3]Liver - GC Results (nmol g)'!S52/1000</f>
        <v>8.5229841691292307</v>
      </c>
      <c r="T52" s="18">
        <f>'[3]Liver - GC Results (nmol g)'!T52/1000</f>
        <v>7.9286232038241051</v>
      </c>
      <c r="U52" s="18">
        <f>'[3]Liver - GC Results (nmol g)'!U52/1000</f>
        <v>13.867742662813285</v>
      </c>
      <c r="V52" s="18">
        <f>'[3]Liver - GC Results (nmol g)'!V52/1000</f>
        <v>12.653876646946024</v>
      </c>
      <c r="W52" s="18">
        <f>'[3]Liver - GC Results (nmol g)'!W52/1000</f>
        <v>9.9769904719757836</v>
      </c>
      <c r="X52" s="18"/>
      <c r="Y52" s="18">
        <f>'[3]Liver - GC Results (nmol g)'!Y52/1000</f>
        <v>6.1915644859606553</v>
      </c>
      <c r="Z52" s="18">
        <f>'[3]Liver - GC Results (nmol g)'!Z52/1000</f>
        <v>6.501290594441139</v>
      </c>
      <c r="AA52" s="18">
        <f>'[3]Liver - GC Results (nmol g)'!AA52/1000</f>
        <v>10.469948325540873</v>
      </c>
      <c r="AB52" s="18">
        <f>'[3]Liver - GC Results (nmol g)'!AB52/1000</f>
        <v>7.7117539999800346</v>
      </c>
      <c r="AC52" s="18">
        <f>'[3]Liver - GC Results (nmol g)'!AC52/1000</f>
        <v>8.2434529099458285</v>
      </c>
      <c r="AD52" s="18">
        <f>'[3]Liver - GC Results (nmol g)'!AD52/1000</f>
        <v>15.711466255043392</v>
      </c>
      <c r="AE52" s="18">
        <f>'[3]Liver - GC Results (nmol g)'!AE52/1000</f>
        <v>12.891181709810258</v>
      </c>
      <c r="AF52" s="18">
        <f>'[3]Liver - GC Results (nmol g)'!AF52/1000</f>
        <v>13.812385094642282</v>
      </c>
      <c r="AG52" s="18">
        <f>'[3]Liver - GC Results (nmol g)'!AG52/1000</f>
        <v>5.1542766454303699</v>
      </c>
      <c r="AH52" s="18">
        <f>'[3]Liver - GC Results (nmol g)'!AH52/1000</f>
        <v>9.8824941489214524</v>
      </c>
    </row>
    <row r="53" spans="1:34" x14ac:dyDescent="0.2">
      <c r="A53" t="s">
        <v>38</v>
      </c>
      <c r="C53" s="18">
        <f>'[3]Liver - GC Results (nmol g)'!C53/1000</f>
        <v>374.87876254021478</v>
      </c>
      <c r="D53" s="18">
        <f>'[3]Liver - GC Results (nmol g)'!D53/1000</f>
        <v>223.79240786302663</v>
      </c>
      <c r="E53" s="18">
        <f>'[3]Liver - GC Results (nmol g)'!E53/1000</f>
        <v>308.1882310856123</v>
      </c>
      <c r="F53" s="18">
        <f>'[3]Liver - GC Results (nmol g)'!F53/1000</f>
        <v>368.23152703104819</v>
      </c>
      <c r="G53" s="18">
        <f>'[3]Liver - GC Results (nmol g)'!G53/1000</f>
        <v>242.48210234531123</v>
      </c>
      <c r="H53" s="18">
        <f>'[3]Liver - GC Results (nmol g)'!H53/1000</f>
        <v>207.07734315951561</v>
      </c>
      <c r="I53" s="18">
        <f>'[3]Liver - GC Results (nmol g)'!I53/1000</f>
        <v>308.49657170453997</v>
      </c>
      <c r="J53" s="18">
        <f>'[3]Liver - GC Results (nmol g)'!J53/1000</f>
        <v>588.3379835108575</v>
      </c>
      <c r="K53" s="18">
        <f>'[3]Liver - GC Results (nmol g)'!K53/1000</f>
        <v>462.26339165086409</v>
      </c>
      <c r="L53" s="18">
        <f>'[3]Liver - GC Results (nmol g)'!L53/1000</f>
        <v>363.55167003320202</v>
      </c>
      <c r="M53" s="18"/>
      <c r="N53" s="18">
        <f>'[3]Liver - GC Results (nmol g)'!N53/1000</f>
        <v>149.60012976201293</v>
      </c>
      <c r="O53" s="18">
        <f>'[3]Liver - GC Results (nmol g)'!O53/1000</f>
        <v>83.519261117894104</v>
      </c>
      <c r="P53" s="18">
        <f>'[3]Liver - GC Results (nmol g)'!P53/1000</f>
        <v>101.75743522613301</v>
      </c>
      <c r="Q53" s="18">
        <f>'[3]Liver - GC Results (nmol g)'!Q53/1000</f>
        <v>176.87040185703574</v>
      </c>
      <c r="R53" s="18">
        <f>'[3]Liver - GC Results (nmol g)'!R53/1000</f>
        <v>90.717387800353578</v>
      </c>
      <c r="S53" s="18">
        <f>'[3]Liver - GC Results (nmol g)'!S53/1000</f>
        <v>105.16722623063357</v>
      </c>
      <c r="T53" s="18">
        <f>'[3]Liver - GC Results (nmol g)'!T53/1000</f>
        <v>97.881210099422333</v>
      </c>
      <c r="U53" s="18">
        <f>'[3]Liver - GC Results (nmol g)'!U53/1000</f>
        <v>214.38692677068732</v>
      </c>
      <c r="V53" s="18">
        <f>'[3]Liver - GC Results (nmol g)'!V53/1000</f>
        <v>196.30907523658101</v>
      </c>
      <c r="W53" s="18">
        <f>'[3]Liver - GC Results (nmol g)'!W53/1000</f>
        <v>144.13010514663108</v>
      </c>
      <c r="X53" s="18"/>
      <c r="Y53" s="18">
        <f>'[3]Liver - GC Results (nmol g)'!Y53/1000</f>
        <v>66.587541579862986</v>
      </c>
      <c r="Z53" s="18">
        <f>'[3]Liver - GC Results (nmol g)'!Z53/1000</f>
        <v>61.499474647203414</v>
      </c>
      <c r="AA53" s="18">
        <f>'[3]Liver - GC Results (nmol g)'!AA53/1000</f>
        <v>136.16464862982707</v>
      </c>
      <c r="AB53" s="18">
        <f>'[3]Liver - GC Results (nmol g)'!AB53/1000</f>
        <v>110.75617393323131</v>
      </c>
      <c r="AC53" s="18">
        <f>'[3]Liver - GC Results (nmol g)'!AC53/1000</f>
        <v>154.32354683933906</v>
      </c>
      <c r="AD53" s="18">
        <f>'[3]Liver - GC Results (nmol g)'!AD53/1000</f>
        <v>147.61849971694943</v>
      </c>
      <c r="AE53" s="18">
        <f>'[3]Liver - GC Results (nmol g)'!AE53/1000</f>
        <v>94.134826216477506</v>
      </c>
      <c r="AF53" s="18">
        <f>'[3]Liver - GC Results (nmol g)'!AF53/1000</f>
        <v>157.74276895452229</v>
      </c>
      <c r="AG53" s="18">
        <f>'[3]Liver - GC Results (nmol g)'!AG53/1000</f>
        <v>46.082502656050217</v>
      </c>
      <c r="AH53" s="18">
        <f>'[3]Liver - GC Results (nmol g)'!AH53/1000</f>
        <v>88.797254811817524</v>
      </c>
    </row>
    <row r="54" spans="1:34" x14ac:dyDescent="0.2">
      <c r="A54" t="s">
        <v>39</v>
      </c>
      <c r="C54" s="18">
        <f>'[3]Liver - GC Results (nmol g)'!C54/1000</f>
        <v>154.21430688090334</v>
      </c>
      <c r="D54" s="18">
        <f>'[3]Liver - GC Results (nmol g)'!D54/1000</f>
        <v>103.44203240790006</v>
      </c>
      <c r="E54" s="18">
        <f>'[3]Liver - GC Results (nmol g)'!E54/1000</f>
        <v>166.77660004694698</v>
      </c>
      <c r="F54" s="18">
        <f>'[3]Liver - GC Results (nmol g)'!F54/1000</f>
        <v>122.7919504620494</v>
      </c>
      <c r="G54" s="18">
        <f>'[3]Liver - GC Results (nmol g)'!G54/1000</f>
        <v>115.00535709783948</v>
      </c>
      <c r="H54" s="18">
        <f>'[3]Liver - GC Results (nmol g)'!H54/1000</f>
        <v>121.16721057463647</v>
      </c>
      <c r="I54" s="18">
        <f>'[3]Liver - GC Results (nmol g)'!I54/1000</f>
        <v>134.65628747513091</v>
      </c>
      <c r="J54" s="18">
        <f>'[3]Liver - GC Results (nmol g)'!J54/1000</f>
        <v>185.31165054706992</v>
      </c>
      <c r="K54" s="18">
        <f>'[3]Liver - GC Results (nmol g)'!K54/1000</f>
        <v>177.55637001726419</v>
      </c>
      <c r="L54" s="18">
        <f>'[3]Liver - GC Results (nmol g)'!L54/1000</f>
        <v>143.20471055715348</v>
      </c>
      <c r="M54" s="18"/>
      <c r="N54" s="18">
        <f>'[3]Liver - GC Results (nmol g)'!N54/1000</f>
        <v>93.658994010172393</v>
      </c>
      <c r="O54" s="18">
        <f>'[3]Liver - GC Results (nmol g)'!O54/1000</f>
        <v>45.188864891384114</v>
      </c>
      <c r="P54" s="18">
        <f>'[3]Liver - GC Results (nmol g)'!P54/1000</f>
        <v>59.800122521536935</v>
      </c>
      <c r="Q54" s="18">
        <f>'[3]Liver - GC Results (nmol g)'!Q54/1000</f>
        <v>104.6362039222776</v>
      </c>
      <c r="R54" s="18">
        <f>'[3]Liver - GC Results (nmol g)'!R54/1000</f>
        <v>59.257924644463372</v>
      </c>
      <c r="S54" s="18">
        <f>'[3]Liver - GC Results (nmol g)'!S54/1000</f>
        <v>84.905360304365274</v>
      </c>
      <c r="T54" s="18">
        <f>'[3]Liver - GC Results (nmol g)'!T54/1000</f>
        <v>56.833095521902052</v>
      </c>
      <c r="U54" s="18">
        <f>'[3]Liver - GC Results (nmol g)'!U54/1000</f>
        <v>117.92625636760265</v>
      </c>
      <c r="V54" s="18">
        <f>'[3]Liver - GC Results (nmol g)'!V54/1000</f>
        <v>114.51964507475871</v>
      </c>
      <c r="W54" s="18">
        <f>'[3]Liver - GC Results (nmol g)'!W54/1000</f>
        <v>79.309931923324086</v>
      </c>
      <c r="X54" s="18"/>
      <c r="Y54" s="18">
        <f>'[3]Liver - GC Results (nmol g)'!Y54/1000</f>
        <v>44.447375722087592</v>
      </c>
      <c r="Z54" s="18">
        <f>'[3]Liver - GC Results (nmol g)'!Z54/1000</f>
        <v>35.41329887012818</v>
      </c>
      <c r="AA54" s="18">
        <f>'[3]Liver - GC Results (nmol g)'!AA54/1000</f>
        <v>88.064446040649855</v>
      </c>
      <c r="AB54" s="18">
        <f>'[3]Liver - GC Results (nmol g)'!AB54/1000</f>
        <v>62.727181453667811</v>
      </c>
      <c r="AC54" s="18">
        <f>'[3]Liver - GC Results (nmol g)'!AC54/1000</f>
        <v>71.737795689796457</v>
      </c>
      <c r="AD54" s="18">
        <f>'[3]Liver - GC Results (nmol g)'!AD54/1000</f>
        <v>71.737769920959337</v>
      </c>
      <c r="AE54" s="18">
        <f>'[3]Liver - GC Results (nmol g)'!AE54/1000</f>
        <v>48.112362607294934</v>
      </c>
      <c r="AF54" s="18">
        <f>'[3]Liver - GC Results (nmol g)'!AF54/1000</f>
        <v>85.905889234187867</v>
      </c>
      <c r="AG54" s="18">
        <f>'[3]Liver - GC Results (nmol g)'!AG54/1000</f>
        <v>28.719949886236908</v>
      </c>
      <c r="AH54" s="18">
        <f>'[3]Liver - GC Results (nmol g)'!AH54/1000</f>
        <v>46.812367190951498</v>
      </c>
    </row>
    <row r="55" spans="1:34" x14ac:dyDescent="0.2">
      <c r="A55" t="s">
        <v>40</v>
      </c>
      <c r="C55" s="18">
        <f>'[3]Liver - GC Results (nmol g)'!C55/1000</f>
        <v>1.1554619606721273</v>
      </c>
      <c r="D55" s="18">
        <f>'[3]Liver - GC Results (nmol g)'!D55/1000</f>
        <v>0.97844294437701385</v>
      </c>
      <c r="E55" s="18">
        <f>'[3]Liver - GC Results (nmol g)'!E55/1000</f>
        <v>1.7453523769335499</v>
      </c>
      <c r="F55" s="18">
        <f>'[3]Liver - GC Results (nmol g)'!F55/1000</f>
        <v>1.0616735503047448</v>
      </c>
      <c r="G55" s="18">
        <f>'[3]Liver - GC Results (nmol g)'!G55/1000</f>
        <v>1.2839232561912408</v>
      </c>
      <c r="H55" s="18">
        <f>'[3]Liver - GC Results (nmol g)'!H55/1000</f>
        <v>0.84201440906651137</v>
      </c>
      <c r="I55" s="18">
        <f>'[3]Liver - GC Results (nmol g)'!I55/1000</f>
        <v>1.5574576882527653</v>
      </c>
      <c r="J55" s="18">
        <f>'[3]Liver - GC Results (nmol g)'!J55/1000</f>
        <v>1.2464253125164506</v>
      </c>
      <c r="K55" s="18">
        <f>'[3]Liver - GC Results (nmol g)'!K55/1000</f>
        <v>1.3270331236825958</v>
      </c>
      <c r="L55" s="18">
        <f>'[3]Liver - GC Results (nmol g)'!L55/1000</f>
        <v>1.2147015683107985</v>
      </c>
      <c r="M55" s="18"/>
      <c r="N55" s="18">
        <f>'[3]Liver - GC Results (nmol g)'!N55/1000</f>
        <v>0.85148375477199623</v>
      </c>
      <c r="O55" s="18">
        <f>'[3]Liver - GC Results (nmol g)'!O55/1000</f>
        <v>1.0186748425924839</v>
      </c>
      <c r="P55" s="18">
        <f>'[3]Liver - GC Results (nmol g)'!P55/1000</f>
        <v>0.83115931692890055</v>
      </c>
      <c r="Q55" s="18">
        <f>'[3]Liver - GC Results (nmol g)'!Q55/1000</f>
        <v>1.5052594292670243</v>
      </c>
      <c r="R55" s="18">
        <f>'[3]Liver - GC Results (nmol g)'!R55/1000</f>
        <v>0.97927741176948901</v>
      </c>
      <c r="S55" s="18">
        <f>'[3]Liver - GC Results (nmol g)'!S55/1000</f>
        <v>0.45448801929215121</v>
      </c>
      <c r="T55" s="18">
        <f>'[3]Liver - GC Results (nmol g)'!T55/1000</f>
        <v>0.67465265430502697</v>
      </c>
      <c r="U55" s="18">
        <f>'[3]Liver - GC Results (nmol g)'!U55/1000</f>
        <v>1.6586986713115821</v>
      </c>
      <c r="V55" s="18">
        <f>'[3]Liver - GC Results (nmol g)'!V55/1000</f>
        <v>1.6451863589708013</v>
      </c>
      <c r="W55" s="18">
        <f>'[3]Liver - GC Results (nmol g)'!W55/1000</f>
        <v>1.0960918155389501</v>
      </c>
      <c r="X55" s="18"/>
      <c r="Y55" s="18">
        <f>'[3]Liver - GC Results (nmol g)'!Y55/1000</f>
        <v>0.76589464707245214</v>
      </c>
      <c r="Z55" s="18">
        <f>'[3]Liver - GC Results (nmol g)'!Z55/1000</f>
        <v>0.93231080961173851</v>
      </c>
      <c r="AA55" s="18">
        <f>'[3]Liver - GC Results (nmol g)'!AA55/1000</f>
        <v>1.0909743725948002</v>
      </c>
      <c r="AB55" s="18">
        <f>'[3]Liver - GC Results (nmol g)'!AB55/1000</f>
        <v>0.78677274650716456</v>
      </c>
      <c r="AC55" s="18">
        <f>'[3]Liver - GC Results (nmol g)'!AC55/1000</f>
        <v>1.2713787549656834</v>
      </c>
      <c r="AD55" s="18">
        <f>'[3]Liver - GC Results (nmol g)'!AD55/1000</f>
        <v>0.72532937939810438</v>
      </c>
      <c r="AE55" s="18">
        <f>'[3]Liver - GC Results (nmol g)'!AE55/1000</f>
        <v>0.36362589770571829</v>
      </c>
      <c r="AF55" s="18">
        <f>'[3]Liver - GC Results (nmol g)'!AF55/1000</f>
        <v>1.2129873997903506</v>
      </c>
      <c r="AG55" s="18">
        <f>'[3]Liver - GC Results (nmol g)'!AG55/1000</f>
        <v>0.63265761999527936</v>
      </c>
      <c r="AH55" s="18">
        <f>'[3]Liver - GC Results (nmol g)'!AH55/1000</f>
        <v>0.43448537654660935</v>
      </c>
    </row>
    <row r="56" spans="1:34" x14ac:dyDescent="0.2">
      <c r="A56" t="s">
        <v>41</v>
      </c>
      <c r="C56" s="18">
        <f>'[3]Liver - GC Results (nmol g)'!C56/1000</f>
        <v>7.2804004058916512</v>
      </c>
      <c r="D56" s="18">
        <f>'[3]Liver - GC Results (nmol g)'!D56/1000</f>
        <v>5.2576790969950435</v>
      </c>
      <c r="E56" s="18">
        <f>'[3]Liver - GC Results (nmol g)'!E56/1000</f>
        <v>8.5357183597834769</v>
      </c>
      <c r="F56" s="18">
        <f>'[3]Liver - GC Results (nmol g)'!F56/1000</f>
        <v>6.5494909821407505</v>
      </c>
      <c r="G56" s="18">
        <f>'[3]Liver - GC Results (nmol g)'!G56/1000</f>
        <v>5.899236194819566</v>
      </c>
      <c r="H56" s="18">
        <f>'[3]Liver - GC Results (nmol g)'!H56/1000</f>
        <v>6.1479372617723396</v>
      </c>
      <c r="I56" s="18">
        <f>'[3]Liver - GC Results (nmol g)'!I56/1000</f>
        <v>7.1127150294109684</v>
      </c>
      <c r="J56" s="18">
        <f>'[3]Liver - GC Results (nmol g)'!J56/1000</f>
        <v>8.8382072428982674</v>
      </c>
      <c r="K56" s="18">
        <f>'[3]Liver - GC Results (nmol g)'!K56/1000</f>
        <v>9.0604886854731017</v>
      </c>
      <c r="L56" s="18">
        <f>'[3]Liver - GC Results (nmol g)'!L56/1000</f>
        <v>7.3472471561337978</v>
      </c>
      <c r="M56" s="18"/>
      <c r="N56" s="18">
        <f>'[3]Liver - GC Results (nmol g)'!N56/1000</f>
        <v>4.4141520370899094</v>
      </c>
      <c r="O56" s="18">
        <f>'[3]Liver - GC Results (nmol g)'!O56/1000</f>
        <v>2.2447129880411576</v>
      </c>
      <c r="P56" s="18">
        <f>'[3]Liver - GC Results (nmol g)'!P56/1000</f>
        <v>3.0224289749783289</v>
      </c>
      <c r="Q56" s="18">
        <f>'[3]Liver - GC Results (nmol g)'!Q56/1000</f>
        <v>5.0112199405825999</v>
      </c>
      <c r="R56" s="18">
        <f>'[3]Liver - GC Results (nmol g)'!R56/1000</f>
        <v>2.8713654716609582</v>
      </c>
      <c r="S56" s="18">
        <f>'[3]Liver - GC Results (nmol g)'!S56/1000</f>
        <v>3.8666578350833438</v>
      </c>
      <c r="T56" s="18">
        <f>'[3]Liver - GC Results (nmol g)'!T56/1000</f>
        <v>2.9857776775140934</v>
      </c>
      <c r="U56" s="18">
        <f>'[3]Liver - GC Results (nmol g)'!U56/1000</f>
        <v>6.3320655467735243</v>
      </c>
      <c r="V56" s="18">
        <f>'[3]Liver - GC Results (nmol g)'!V56/1000</f>
        <v>6.2888058775025737</v>
      </c>
      <c r="W56" s="18">
        <f>'[3]Liver - GC Results (nmol g)'!W56/1000</f>
        <v>3.9384913890286155</v>
      </c>
      <c r="X56" s="18"/>
      <c r="Y56" s="18">
        <f>'[3]Liver - GC Results (nmol g)'!Y56/1000</f>
        <v>1.9903204382044748</v>
      </c>
      <c r="Z56" s="18">
        <f>'[3]Liver - GC Results (nmol g)'!Z56/1000</f>
        <v>1.4531421395229067</v>
      </c>
      <c r="AA56" s="18">
        <f>'[3]Liver - GC Results (nmol g)'!AA56/1000</f>
        <v>3.817746796004883</v>
      </c>
      <c r="AB56" s="18">
        <f>'[3]Liver - GC Results (nmol g)'!AB56/1000</f>
        <v>3.1764162577325106</v>
      </c>
      <c r="AC56" s="18">
        <f>'[3]Liver - GC Results (nmol g)'!AC56/1000</f>
        <v>4.4097083510303827</v>
      </c>
      <c r="AD56" s="18">
        <f>'[3]Liver - GC Results (nmol g)'!AD56/1000</f>
        <v>3.2256456494201977</v>
      </c>
      <c r="AE56" s="18">
        <f>'[3]Liver - GC Results (nmol g)'!AE56/1000</f>
        <v>1.9985834339603847</v>
      </c>
      <c r="AF56" s="18">
        <f>'[3]Liver - GC Results (nmol g)'!AF56/1000</f>
        <v>4.0077542709342389</v>
      </c>
      <c r="AG56" s="18">
        <f>'[3]Liver - GC Results (nmol g)'!AG56/1000</f>
        <v>1.2510693746256745</v>
      </c>
      <c r="AH56" s="18">
        <f>'[3]Liver - GC Results (nmol g)'!AH56/1000</f>
        <v>1.9664891352388019</v>
      </c>
    </row>
    <row r="57" spans="1:34" x14ac:dyDescent="0.2">
      <c r="A57" t="s">
        <v>42</v>
      </c>
      <c r="C57" s="18">
        <f>'[3]Liver - GC Results (nmol g)'!C57/1000</f>
        <v>6.510242270758379E-2</v>
      </c>
      <c r="D57" s="18">
        <f>'[3]Liver - GC Results (nmol g)'!D57/1000</f>
        <v>0.14078597555284564</v>
      </c>
      <c r="E57" s="18">
        <f>'[3]Liver - GC Results (nmol g)'!E57/1000</f>
        <v>0.73851911167628581</v>
      </c>
      <c r="F57" s="18">
        <f>'[3]Liver - GC Results (nmol g)'!F57/1000</f>
        <v>0.50350694438938737</v>
      </c>
      <c r="G57" s="18">
        <f>'[3]Liver - GC Results (nmol g)'!G57/1000</f>
        <v>0.30764169178584283</v>
      </c>
      <c r="H57" s="18">
        <f>'[3]Liver - GC Results (nmol g)'!H57/1000</f>
        <v>0.30989484825708197</v>
      </c>
      <c r="I57" s="18">
        <f>'[3]Liver - GC Results (nmol g)'!I57/1000</f>
        <v>0.64371907629384129</v>
      </c>
      <c r="J57" s="18">
        <f>'[3]Liver - GC Results (nmol g)'!J57/1000</f>
        <v>0.28195971505058259</v>
      </c>
      <c r="K57" s="18">
        <f>'[3]Liver - GC Results (nmol g)'!K57/1000</f>
        <v>0.20575171285475791</v>
      </c>
      <c r="L57" s="18">
        <f>'[3]Liver - GC Results (nmol g)'!L57/1000</f>
        <v>9.5830275276472573E-2</v>
      </c>
      <c r="M57" s="18"/>
      <c r="N57" s="18">
        <f>'[3]Liver - GC Results (nmol g)'!N57/1000</f>
        <v>0.11407276424104278</v>
      </c>
      <c r="O57" s="18">
        <f>'[3]Liver - GC Results (nmol g)'!O57/1000</f>
        <v>0.14176821423493585</v>
      </c>
      <c r="P57" s="18">
        <f>'[3]Liver - GC Results (nmol g)'!P57/1000</f>
        <v>0.14804011118926805</v>
      </c>
      <c r="Q57" s="18">
        <f>'[3]Liver - GC Results (nmol g)'!Q57/1000</f>
        <v>0.19177641392970901</v>
      </c>
      <c r="R57" s="18">
        <f>'[3]Liver - GC Results (nmol g)'!R57/1000</f>
        <v>0.13827034231274521</v>
      </c>
      <c r="S57" s="18">
        <f>'[3]Liver - GC Results (nmol g)'!S57/1000</f>
        <v>5.9539146579485253E-2</v>
      </c>
      <c r="T57" s="18">
        <f>'[3]Liver - GC Results (nmol g)'!T57/1000</f>
        <v>8.9131943311668363E-2</v>
      </c>
      <c r="U57" s="18">
        <f>'[3]Liver - GC Results (nmol g)'!U57/1000</f>
        <v>0.1786866792884122</v>
      </c>
      <c r="V57" s="18">
        <f>'[3]Liver - GC Results (nmol g)'!V57/1000</f>
        <v>0.22593217734703538</v>
      </c>
      <c r="W57" s="18">
        <f>'[3]Liver - GC Results (nmol g)'!W57/1000</f>
        <v>0.15496836822019447</v>
      </c>
      <c r="X57" s="18"/>
      <c r="Y57" s="18">
        <f>'[3]Liver - GC Results (nmol g)'!Y57/1000</f>
        <v>0.13543212203985797</v>
      </c>
      <c r="Z57" s="18">
        <f>'[3]Liver - GC Results (nmol g)'!Z57/1000</f>
        <v>0.19435479082253423</v>
      </c>
      <c r="AA57" s="18">
        <f>'[3]Liver - GC Results (nmol g)'!AA57/1000</f>
        <v>0.14635291610097639</v>
      </c>
      <c r="AB57" s="18">
        <f>'[3]Liver - GC Results (nmol g)'!AB57/1000</f>
        <v>0.11372330130563951</v>
      </c>
      <c r="AC57" s="18">
        <f>'[3]Liver - GC Results (nmol g)'!AC57/1000</f>
        <v>0.20215392073874194</v>
      </c>
      <c r="AD57" s="18">
        <f>'[3]Liver - GC Results (nmol g)'!AD57/1000</f>
        <v>0.12089093372846926</v>
      </c>
      <c r="AE57" s="18">
        <f>'[3]Liver - GC Results (nmol g)'!AE57/1000</f>
        <v>7.9546603074914887E-2</v>
      </c>
      <c r="AF57" s="18">
        <f>'[3]Liver - GC Results (nmol g)'!AF57/1000</f>
        <v>0.18928784585881822</v>
      </c>
      <c r="AG57" s="18">
        <f>'[3]Liver - GC Results (nmol g)'!AG57/1000</f>
        <v>0.14494850701171086</v>
      </c>
      <c r="AH57" s="18">
        <f>'[3]Liver - GC Results (nmol g)'!AH57/1000</f>
        <v>6.9751962332603085E-2</v>
      </c>
    </row>
    <row r="58" spans="1:34" x14ac:dyDescent="0.2">
      <c r="A58" t="s">
        <v>43</v>
      </c>
      <c r="C58" s="18">
        <f>'[3]Liver - GC Results (nmol g)'!C58/1000</f>
        <v>8.8265553109642063</v>
      </c>
      <c r="D58" s="18">
        <f>'[3]Liver - GC Results (nmol g)'!D58/1000</f>
        <v>5.5529857074619757</v>
      </c>
      <c r="E58" s="18">
        <f>'[3]Liver - GC Results (nmol g)'!E58/1000</f>
        <v>9.4365151941538983</v>
      </c>
      <c r="F58" s="18">
        <f>'[3]Liver - GC Results (nmol g)'!F58/1000</f>
        <v>8.6617971179813349</v>
      </c>
      <c r="G58" s="18">
        <f>'[3]Liver - GC Results (nmol g)'!G58/1000</f>
        <v>9.4476733954948546</v>
      </c>
      <c r="H58" s="18">
        <f>'[3]Liver - GC Results (nmol g)'!H58/1000</f>
        <v>7.1476760373290134</v>
      </c>
      <c r="I58" s="18">
        <f>'[3]Liver - GC Results (nmol g)'!I58/1000</f>
        <v>6.1469185703160161</v>
      </c>
      <c r="J58" s="18">
        <f>'[3]Liver - GC Results (nmol g)'!J58/1000</f>
        <v>16.811932958036408</v>
      </c>
      <c r="K58" s="18">
        <f>'[3]Liver - GC Results (nmol g)'!K58/1000</f>
        <v>10.344261579689913</v>
      </c>
      <c r="L58" s="18">
        <f>'[3]Liver - GC Results (nmol g)'!L58/1000</f>
        <v>8.6472328377367145</v>
      </c>
      <c r="M58" s="18"/>
      <c r="N58" s="18">
        <f>'[3]Liver - GC Results (nmol g)'!N58/1000</f>
        <v>5.2831559174430609</v>
      </c>
      <c r="O58" s="18">
        <f>'[3]Liver - GC Results (nmol g)'!O58/1000</f>
        <v>2.9869491967998978</v>
      </c>
      <c r="P58" s="18">
        <f>'[3]Liver - GC Results (nmol g)'!P58/1000</f>
        <v>2.5206605867214558</v>
      </c>
      <c r="Q58" s="18">
        <f>'[3]Liver - GC Results (nmol g)'!Q58/1000</f>
        <v>6.213550781354221</v>
      </c>
      <c r="R58" s="18">
        <f>'[3]Liver - GC Results (nmol g)'!R58/1000</f>
        <v>3.5454156092307518</v>
      </c>
      <c r="S58" s="18">
        <f>'[3]Liver - GC Results (nmol g)'!S58/1000</f>
        <v>3.8520695148309883</v>
      </c>
      <c r="T58" s="18">
        <f>'[3]Liver - GC Results (nmol g)'!T58/1000</f>
        <v>3.7274478222666989</v>
      </c>
      <c r="U58" s="18">
        <f>'[3]Liver - GC Results (nmol g)'!U58/1000</f>
        <v>6.424383374763754</v>
      </c>
      <c r="V58" s="18">
        <f>'[3]Liver - GC Results (nmol g)'!V58/1000</f>
        <v>6.2158885520712603</v>
      </c>
      <c r="W58" s="18">
        <f>'[3]Liver - GC Results (nmol g)'!W58/1000</f>
        <v>5.4892986127310923</v>
      </c>
      <c r="X58" s="18"/>
      <c r="Y58" s="18">
        <f>'[3]Liver - GC Results (nmol g)'!Y58/1000</f>
        <v>2.0955862646345795</v>
      </c>
      <c r="Z58" s="18">
        <f>'[3]Liver - GC Results (nmol g)'!Z58/1000</f>
        <v>2.2360003599895073</v>
      </c>
      <c r="AA58" s="18">
        <f>'[3]Liver - GC Results (nmol g)'!AA58/1000</f>
        <v>4.5115192032432372</v>
      </c>
      <c r="AB58" s="18">
        <f>'[3]Liver - GC Results (nmol g)'!AB58/1000</f>
        <v>4.0316007069676436</v>
      </c>
      <c r="AC58" s="18">
        <f>'[3]Liver - GC Results (nmol g)'!AC58/1000</f>
        <v>5.2994017262839863</v>
      </c>
      <c r="AD58" s="18">
        <f>'[3]Liver - GC Results (nmol g)'!AD58/1000</f>
        <v>3.1449367180449541</v>
      </c>
      <c r="AE58" s="18">
        <f>'[3]Liver - GC Results (nmol g)'!AE58/1000</f>
        <v>1.8614449236454946</v>
      </c>
      <c r="AF58" s="18">
        <f>'[3]Liver - GC Results (nmol g)'!AF58/1000</f>
        <v>6.0045758159339648</v>
      </c>
      <c r="AG58" s="18">
        <f>'[3]Liver - GC Results (nmol g)'!AG58/1000</f>
        <v>1.9369417772168607</v>
      </c>
      <c r="AH58" s="18">
        <f>'[3]Liver - GC Results (nmol g)'!AH58/1000</f>
        <v>1.7363032277885957</v>
      </c>
    </row>
    <row r="59" spans="1:34" x14ac:dyDescent="0.2">
      <c r="A59" t="s">
        <v>44</v>
      </c>
      <c r="C59" s="18">
        <f>'[3]Liver - GC Results (nmol g)'!C59/1000</f>
        <v>0.22024841205037249</v>
      </c>
      <c r="D59" s="18">
        <f>'[3]Liver - GC Results (nmol g)'!D59/1000</f>
        <v>0.10947084970503883</v>
      </c>
      <c r="E59" s="18">
        <f>'[3]Liver - GC Results (nmol g)'!E59/1000</f>
        <v>0.98549678639356242</v>
      </c>
      <c r="F59" s="18">
        <f>'[3]Liver - GC Results (nmol g)'!F59/1000</f>
        <v>0.36417956050375749</v>
      </c>
      <c r="G59" s="18">
        <f>'[3]Liver - GC Results (nmol g)'!G59/1000</f>
        <v>0.41478521308870525</v>
      </c>
      <c r="H59" s="18">
        <f>'[3]Liver - GC Results (nmol g)'!H59/1000</f>
        <v>0.32611407116787527</v>
      </c>
      <c r="I59" s="18">
        <f>'[3]Liver - GC Results (nmol g)'!I59/1000</f>
        <v>0.51364658270265773</v>
      </c>
      <c r="J59" s="18">
        <f>'[3]Liver - GC Results (nmol g)'!J59/1000</f>
        <v>0.23752567015760653</v>
      </c>
      <c r="K59" s="18">
        <f>'[3]Liver - GC Results (nmol g)'!K59/1000</f>
        <v>0.12596769936834298</v>
      </c>
      <c r="L59" s="18">
        <f>'[3]Liver - GC Results (nmol g)'!L59/1000</f>
        <v>9.2678711506376327E-2</v>
      </c>
      <c r="M59" s="18"/>
      <c r="N59" s="18">
        <f>'[3]Liver - GC Results (nmol g)'!N59/1000</f>
        <v>5.0621928433485536E-2</v>
      </c>
      <c r="O59" s="18">
        <f>'[3]Liver - GC Results (nmol g)'!O59/1000</f>
        <v>3.8407981111899837E-2</v>
      </c>
      <c r="P59" s="18">
        <f>'[3]Liver - GC Results (nmol g)'!P59/1000</f>
        <v>4.3728758788652969E-2</v>
      </c>
      <c r="Q59" s="18">
        <f>'[3]Liver - GC Results (nmol g)'!Q59/1000</f>
        <v>4.6128710962363387E-2</v>
      </c>
      <c r="R59" s="18">
        <f>'[3]Liver - GC Results (nmol g)'!R59/1000</f>
        <v>4.1311603051641735E-2</v>
      </c>
      <c r="S59" s="18">
        <f>'[3]Liver - GC Results (nmol g)'!S59/1000</f>
        <v>5.9423836041563594E-2</v>
      </c>
      <c r="T59" s="18">
        <f>'[3]Liver - GC Results (nmol g)'!T59/1000</f>
        <v>4.2042325276247725E-2</v>
      </c>
      <c r="U59" s="18">
        <f>'[3]Liver - GC Results (nmol g)'!U59/1000</f>
        <v>4.2926397242393881E-2</v>
      </c>
      <c r="V59" s="18">
        <f>'[3]Liver - GC Results (nmol g)'!V59/1000</f>
        <v>5.3920302372730308E-2</v>
      </c>
      <c r="W59" s="18">
        <f>'[3]Liver - GC Results (nmol g)'!W59/1000</f>
        <v>3.8838645496522599E-2</v>
      </c>
      <c r="X59" s="18"/>
      <c r="Y59" s="18">
        <f>'[3]Liver - GC Results (nmol g)'!Y59/1000</f>
        <v>3.646172042671262E-2</v>
      </c>
      <c r="Z59" s="18">
        <f>'[3]Liver - GC Results (nmol g)'!Z59/1000</f>
        <v>4.3971708203942049E-2</v>
      </c>
      <c r="AA59" s="18">
        <f>'[3]Liver - GC Results (nmol g)'!AA59/1000</f>
        <v>4.164582431062705E-2</v>
      </c>
      <c r="AB59" s="18">
        <f>'[3]Liver - GC Results (nmol g)'!AB59/1000</f>
        <v>4.0467273056844777E-2</v>
      </c>
      <c r="AC59" s="18">
        <f>'[3]Liver - GC Results (nmol g)'!AC59/1000</f>
        <v>3.6634336758819462E-2</v>
      </c>
      <c r="AD59" s="18">
        <f>'[3]Liver - GC Results (nmol g)'!AD59/1000</f>
        <v>2.7418994742529158E-2</v>
      </c>
      <c r="AE59" s="18">
        <f>'[3]Liver - GC Results (nmol g)'!AE59/1000</f>
        <v>3.7518020577932812E-2</v>
      </c>
      <c r="AF59" s="18">
        <f>'[3]Liver - GC Results (nmol g)'!AF59/1000</f>
        <v>3.480087998038791E-2</v>
      </c>
      <c r="AG59" s="18">
        <f>'[3]Liver - GC Results (nmol g)'!AG59/1000</f>
        <v>2.8269162966538211E-2</v>
      </c>
      <c r="AH59" s="18">
        <f>'[3]Liver - GC Results (nmol g)'!AH59/1000</f>
        <v>4.488444773526739E-2</v>
      </c>
    </row>
    <row r="60" spans="1:34" x14ac:dyDescent="0.2">
      <c r="A60" t="s">
        <v>45</v>
      </c>
      <c r="C60" s="18">
        <f>'[3]Liver - GC Results (nmol g)'!C60/1000</f>
        <v>1.7163846364258983</v>
      </c>
      <c r="D60" s="18">
        <f>'[3]Liver - GC Results (nmol g)'!D60/1000</f>
        <v>1.1403975703029317</v>
      </c>
      <c r="E60" s="18">
        <f>'[3]Liver - GC Results (nmol g)'!E60/1000</f>
        <v>3.1868372345233134</v>
      </c>
      <c r="F60" s="18">
        <f>'[3]Liver - GC Results (nmol g)'!F60/1000</f>
        <v>1.3375643149263627</v>
      </c>
      <c r="G60" s="18">
        <f>'[3]Liver - GC Results (nmol g)'!G60/1000</f>
        <v>1.8798237359034731</v>
      </c>
      <c r="H60" s="18">
        <f>'[3]Liver - GC Results (nmol g)'!H60/1000</f>
        <v>1.3640926195565681</v>
      </c>
      <c r="I60" s="18">
        <f>'[3]Liver - GC Results (nmol g)'!I60/1000</f>
        <v>1.98623418930077</v>
      </c>
      <c r="J60" s="18">
        <f>'[3]Liver - GC Results (nmol g)'!J60/1000</f>
        <v>1.4438778500357718</v>
      </c>
      <c r="K60" s="18">
        <f>'[3]Liver - GC Results (nmol g)'!K60/1000</f>
        <v>2.1937118905677897</v>
      </c>
      <c r="L60" s="18">
        <f>'[3]Liver - GC Results (nmol g)'!L60/1000</f>
        <v>1.9116710708275044</v>
      </c>
      <c r="M60" s="18"/>
      <c r="N60" s="18">
        <f>'[3]Liver - GC Results (nmol g)'!N60/1000</f>
        <v>0.79435450316180367</v>
      </c>
      <c r="O60" s="18">
        <f>'[3]Liver - GC Results (nmol g)'!O60/1000</f>
        <v>0.33210293923180195</v>
      </c>
      <c r="P60" s="18">
        <f>'[3]Liver - GC Results (nmol g)'!P60/1000</f>
        <v>0.26969191292171835</v>
      </c>
      <c r="Q60" s="18">
        <f>'[3]Liver - GC Results (nmol g)'!Q60/1000</f>
        <v>1.1779857158366289</v>
      </c>
      <c r="R60" s="18">
        <f>'[3]Liver - GC Results (nmol g)'!R60/1000</f>
        <v>0.62675521043666838</v>
      </c>
      <c r="S60" s="18">
        <f>'[3]Liver - GC Results (nmol g)'!S60/1000</f>
        <v>0.78325001187158882</v>
      </c>
      <c r="T60" s="18">
        <f>'[3]Liver - GC Results (nmol g)'!T60/1000</f>
        <v>0.55047317330586543</v>
      </c>
      <c r="U60" s="18">
        <f>'[3]Liver - GC Results (nmol g)'!U60/1000</f>
        <v>1.3462635408028663</v>
      </c>
      <c r="V60" s="18">
        <f>'[3]Liver - GC Results (nmol g)'!V60/1000</f>
        <v>1.1526561307443881</v>
      </c>
      <c r="W60" s="18">
        <f>'[3]Liver - GC Results (nmol g)'!W60/1000</f>
        <v>0.95388790620201747</v>
      </c>
      <c r="X60" s="18"/>
      <c r="Y60" s="18">
        <f>'[3]Liver - GC Results (nmol g)'!Y60/1000</f>
        <v>0.25430154011220213</v>
      </c>
      <c r="Z60" s="18">
        <f>'[3]Liver - GC Results (nmol g)'!Z60/1000</f>
        <v>0.25591093394712927</v>
      </c>
      <c r="AA60" s="18">
        <f>'[3]Liver - GC Results (nmol g)'!AA60/1000</f>
        <v>0.81603874328729864</v>
      </c>
      <c r="AB60" s="18">
        <f>'[3]Liver - GC Results (nmol g)'!AB60/1000</f>
        <v>0.73432840830270363</v>
      </c>
      <c r="AC60" s="18">
        <f>'[3]Liver - GC Results (nmol g)'!AC60/1000</f>
        <v>1.0893037310600504</v>
      </c>
      <c r="AD60" s="18">
        <f>'[3]Liver - GC Results (nmol g)'!AD60/1000</f>
        <v>0.61570305918517065</v>
      </c>
      <c r="AE60" s="18">
        <f>'[3]Liver - GC Results (nmol g)'!AE60/1000</f>
        <v>0.18199789975741665</v>
      </c>
      <c r="AF60" s="18">
        <f>'[3]Liver - GC Results (nmol g)'!AF60/1000</f>
        <v>1.0482051674183555</v>
      </c>
      <c r="AG60" s="18">
        <f>'[3]Liver - GC Results (nmol g)'!AG60/1000</f>
        <v>0.2550824418133037</v>
      </c>
      <c r="AH60" s="18">
        <f>'[3]Liver - GC Results (nmol g)'!AH60/1000</f>
        <v>0.24700596644839248</v>
      </c>
    </row>
    <row r="61" spans="1:34" x14ac:dyDescent="0.2">
      <c r="A61" t="s">
        <v>46</v>
      </c>
      <c r="C61" s="18">
        <f>'[3]Liver - GC Results (nmol g)'!C61/1000</f>
        <v>2.4863776367833261E-2</v>
      </c>
      <c r="D61" s="18">
        <f>'[3]Liver - GC Results (nmol g)'!D61/1000</f>
        <v>9.4292139147904658E-2</v>
      </c>
      <c r="E61" s="18">
        <f>'[3]Liver - GC Results (nmol g)'!E61/1000</f>
        <v>0.92797337115191403</v>
      </c>
      <c r="F61" s="18">
        <f>'[3]Liver - GC Results (nmol g)'!F61/1000</f>
        <v>0.28343435849602167</v>
      </c>
      <c r="G61" s="18">
        <f>'[3]Liver - GC Results (nmol g)'!G61/1000</f>
        <v>0.38260365991119416</v>
      </c>
      <c r="H61" s="18">
        <f>'[3]Liver - GC Results (nmol g)'!H61/1000</f>
        <v>0.2389596667194625</v>
      </c>
      <c r="I61" s="18">
        <f>'[3]Liver - GC Results (nmol g)'!I61/1000</f>
        <v>0.62725590499752848</v>
      </c>
      <c r="J61" s="18">
        <f>'[3]Liver - GC Results (nmol g)'!J61/1000</f>
        <v>0.23115080484649317</v>
      </c>
      <c r="K61" s="18">
        <f>'[3]Liver - GC Results (nmol g)'!K61/1000</f>
        <v>0.15221048272600049</v>
      </c>
      <c r="L61" s="18">
        <f>'[3]Liver - GC Results (nmol g)'!L61/1000</f>
        <v>3.2979720699546237E-2</v>
      </c>
      <c r="M61" s="18"/>
      <c r="N61" s="18">
        <f>'[3]Liver - GC Results (nmol g)'!N61/1000</f>
        <v>2.5293585694799271E-2</v>
      </c>
      <c r="O61" s="18">
        <f>'[3]Liver - GC Results (nmol g)'!O61/1000</f>
        <v>2.6040296185943827E-2</v>
      </c>
      <c r="P61" s="18">
        <f>'[3]Liver - GC Results (nmol g)'!P61/1000</f>
        <v>3.350874950719733E-2</v>
      </c>
      <c r="Q61" s="18">
        <f>'[3]Liver - GC Results (nmol g)'!Q61/1000</f>
        <v>3.7732846533821231E-2</v>
      </c>
      <c r="R61" s="18">
        <f>'[3]Liver - GC Results (nmol g)'!R61/1000</f>
        <v>2.2249045958417819E-2</v>
      </c>
      <c r="S61" s="18">
        <f>'[3]Liver - GC Results (nmol g)'!S61/1000</f>
        <v>1.8569339841065607E-2</v>
      </c>
      <c r="T61" s="18">
        <f>'[3]Liver - GC Results (nmol g)'!T61/1000</f>
        <v>2.4524908132416968E-2</v>
      </c>
      <c r="U61" s="18">
        <f>'[3]Liver - GC Results (nmol g)'!U61/1000</f>
        <v>2.7869021001290722E-2</v>
      </c>
      <c r="V61" s="18">
        <f>'[3]Liver - GC Results (nmol g)'!V61/1000</f>
        <v>4.6311803728524864E-2</v>
      </c>
      <c r="W61" s="18">
        <f>'[3]Liver - GC Results (nmol g)'!W61/1000</f>
        <v>3.1194165552544131E-2</v>
      </c>
      <c r="X61" s="18"/>
      <c r="Y61" s="18">
        <f>'[3]Liver - GC Results (nmol g)'!Y61/1000</f>
        <v>1.9894529682668041E-2</v>
      </c>
      <c r="Z61" s="18">
        <f>'[3]Liver - GC Results (nmol g)'!Z61/1000</f>
        <v>3.2423063555349345E-2</v>
      </c>
      <c r="AA61" s="18">
        <f>'[3]Liver - GC Results (nmol g)'!AA61/1000</f>
        <v>3.6266375444334885E-2</v>
      </c>
      <c r="AB61" s="18">
        <f>'[3]Liver - GC Results (nmol g)'!AB61/1000</f>
        <v>3.6237515001439895E-2</v>
      </c>
      <c r="AC61" s="18">
        <f>'[3]Liver - GC Results (nmol g)'!AC61/1000</f>
        <v>3.2032208867436518E-2</v>
      </c>
      <c r="AD61" s="18">
        <f>'[3]Liver - GC Results (nmol g)'!AD61/1000</f>
        <v>3.3110323334673487E-2</v>
      </c>
      <c r="AE61" s="18">
        <f>'[3]Liver - GC Results (nmol g)'!AE61/1000</f>
        <v>3.6010949890316439E-2</v>
      </c>
      <c r="AF61" s="18">
        <f>'[3]Liver - GC Results (nmol g)'!AF61/1000</f>
        <v>2.6953808509500753E-2</v>
      </c>
      <c r="AG61" s="18">
        <f>'[3]Liver - GC Results (nmol g)'!AG61/1000</f>
        <v>2.2226184840904686E-2</v>
      </c>
      <c r="AH61" s="18">
        <f>'[3]Liver - GC Results (nmol g)'!AH61/1000</f>
        <v>2.2881933739873992E-2</v>
      </c>
    </row>
    <row r="62" spans="1:34" x14ac:dyDescent="0.2">
      <c r="A62" t="s">
        <v>47</v>
      </c>
      <c r="C62" s="18">
        <f>'[3]Liver - GC Results (nmol g)'!C62/1000</f>
        <v>13.081048008611592</v>
      </c>
      <c r="D62" s="18">
        <f>'[3]Liver - GC Results (nmol g)'!D62/1000</f>
        <v>7.815667244290248</v>
      </c>
      <c r="E62" s="18">
        <f>'[3]Liver - GC Results (nmol g)'!E62/1000</f>
        <v>13.986167578818984</v>
      </c>
      <c r="F62" s="18">
        <f>'[3]Liver - GC Results (nmol g)'!F62/1000</f>
        <v>8.8429318116652684</v>
      </c>
      <c r="G62" s="18">
        <f>'[3]Liver - GC Results (nmol g)'!G62/1000</f>
        <v>12.012560810221309</v>
      </c>
      <c r="H62" s="18">
        <f>'[3]Liver - GC Results (nmol g)'!H62/1000</f>
        <v>10.883765157959006</v>
      </c>
      <c r="I62" s="18">
        <f>'[3]Liver - GC Results (nmol g)'!I62/1000</f>
        <v>10.693997065086958</v>
      </c>
      <c r="J62" s="18">
        <f>'[3]Liver - GC Results (nmol g)'!J62/1000</f>
        <v>20.253764231698806</v>
      </c>
      <c r="K62" s="18">
        <f>'[3]Liver - GC Results (nmol g)'!K62/1000</f>
        <v>12.997560772776914</v>
      </c>
      <c r="L62" s="18">
        <f>'[3]Liver - GC Results (nmol g)'!L62/1000</f>
        <v>11.994465785783493</v>
      </c>
      <c r="M62" s="18"/>
      <c r="N62" s="18">
        <f>'[3]Liver - GC Results (nmol g)'!N62/1000</f>
        <v>7.2965617424749052</v>
      </c>
      <c r="O62" s="18">
        <f>'[3]Liver - GC Results (nmol g)'!O62/1000</f>
        <v>3.1139781572134599</v>
      </c>
      <c r="P62" s="18">
        <f>'[3]Liver - GC Results (nmol g)'!P62/1000</f>
        <v>1.7443140559309998</v>
      </c>
      <c r="Q62" s="18">
        <f>'[3]Liver - GC Results (nmol g)'!Q62/1000</f>
        <v>7.4411561741216019</v>
      </c>
      <c r="R62" s="18">
        <f>'[3]Liver - GC Results (nmol g)'!R62/1000</f>
        <v>3.8920401515400544</v>
      </c>
      <c r="S62" s="18">
        <f>'[3]Liver - GC Results (nmol g)'!S62/1000</f>
        <v>6.1712288453975743</v>
      </c>
      <c r="T62" s="18">
        <f>'[3]Liver - GC Results (nmol g)'!T62/1000</f>
        <v>4.3422856703750448</v>
      </c>
      <c r="U62" s="18">
        <f>'[3]Liver - GC Results (nmol g)'!U62/1000</f>
        <v>8.6033623909710926</v>
      </c>
      <c r="V62" s="18">
        <f>'[3]Liver - GC Results (nmol g)'!V62/1000</f>
        <v>7.8587049831837987</v>
      </c>
      <c r="W62" s="18">
        <f>'[3]Liver - GC Results (nmol g)'!W62/1000</f>
        <v>5.7047925845771283</v>
      </c>
      <c r="X62" s="18"/>
      <c r="Y62" s="18">
        <f>'[3]Liver - GC Results (nmol g)'!Y62/1000</f>
        <v>2.5293590947239224</v>
      </c>
      <c r="Z62" s="18">
        <f>'[3]Liver - GC Results (nmol g)'!Z62/1000</f>
        <v>2.5285757130154409</v>
      </c>
      <c r="AA62" s="18">
        <f>'[3]Liver - GC Results (nmol g)'!AA62/1000</f>
        <v>7.2310299892357248</v>
      </c>
      <c r="AB62" s="18">
        <f>'[3]Liver - GC Results (nmol g)'!AB62/1000</f>
        <v>4.7210557705334946</v>
      </c>
      <c r="AC62" s="18">
        <f>'[3]Liver - GC Results (nmol g)'!AC62/1000</f>
        <v>6.2423210715002959</v>
      </c>
      <c r="AD62" s="18">
        <f>'[3]Liver - GC Results (nmol g)'!AD62/1000</f>
        <v>3.9187500507775312</v>
      </c>
      <c r="AE62" s="18">
        <f>'[3]Liver - GC Results (nmol g)'!AE62/1000</f>
        <v>1.6941664695413132</v>
      </c>
      <c r="AF62" s="18">
        <f>'[3]Liver - GC Results (nmol g)'!AF62/1000</f>
        <v>6.7399161390578275</v>
      </c>
      <c r="AG62" s="18">
        <f>'[3]Liver - GC Results (nmol g)'!AG62/1000</f>
        <v>1.3838085423695412</v>
      </c>
      <c r="AH62" s="18">
        <f>'[3]Liver - GC Results (nmol g)'!AH62/1000</f>
        <v>2.1188847391598222</v>
      </c>
    </row>
    <row r="63" spans="1:34" x14ac:dyDescent="0.2">
      <c r="A63" s="3"/>
      <c r="B63" s="3"/>
      <c r="C63" s="9"/>
      <c r="D63" s="9"/>
      <c r="E63" s="9"/>
      <c r="F63" s="9"/>
      <c r="G63" s="9"/>
      <c r="H63" s="9"/>
      <c r="I63" s="9"/>
      <c r="J63" s="9"/>
      <c r="K63" s="9"/>
      <c r="L63" s="9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8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ht="14" customHeight="1" x14ac:dyDescent="0.2">
      <c r="A64" s="10" t="s">
        <v>48</v>
      </c>
      <c r="B64" s="3"/>
      <c r="C64" s="11">
        <f>SUM(C48:C62)</f>
        <v>905.80065511548128</v>
      </c>
      <c r="D64" s="11">
        <f t="shared" ref="D64:AH64" si="2">SUM(D48:D62)</f>
        <v>569.18567437003867</v>
      </c>
      <c r="E64" s="11">
        <f t="shared" si="2"/>
        <v>839.18238020615911</v>
      </c>
      <c r="F64" s="11">
        <f t="shared" si="2"/>
        <v>831.90494815266106</v>
      </c>
      <c r="G64" s="11">
        <f t="shared" si="2"/>
        <v>631.22617800870751</v>
      </c>
      <c r="H64" s="11">
        <f t="shared" si="2"/>
        <v>567.82246521929653</v>
      </c>
      <c r="I64" s="11">
        <f t="shared" si="2"/>
        <v>745.14503685582804</v>
      </c>
      <c r="J64" s="11">
        <f t="shared" si="2"/>
        <v>1243.3401958268278</v>
      </c>
      <c r="K64" s="11">
        <f t="shared" si="2"/>
        <v>1095.2927891052043</v>
      </c>
      <c r="L64" s="11">
        <f t="shared" si="2"/>
        <v>866.38273151435078</v>
      </c>
      <c r="M64" s="11"/>
      <c r="N64" s="11">
        <f t="shared" si="2"/>
        <v>424.96353145408631</v>
      </c>
      <c r="O64" s="11">
        <f t="shared" si="2"/>
        <v>236.66791680557179</v>
      </c>
      <c r="P64" s="11">
        <f t="shared" si="2"/>
        <v>279.17898903521899</v>
      </c>
      <c r="Q64" s="11">
        <f t="shared" si="2"/>
        <v>501.53913160771958</v>
      </c>
      <c r="R64" s="11">
        <f t="shared" si="2"/>
        <v>270.53215224553912</v>
      </c>
      <c r="S64" s="11">
        <f t="shared" si="2"/>
        <v>324.46030144687609</v>
      </c>
      <c r="T64" s="11">
        <f t="shared" si="2"/>
        <v>275.1958174482769</v>
      </c>
      <c r="U64" s="11">
        <f t="shared" si="2"/>
        <v>590.36864751076996</v>
      </c>
      <c r="V64" s="11">
        <f t="shared" si="2"/>
        <v>537.57402414246576</v>
      </c>
      <c r="W64" s="11">
        <f t="shared" si="2"/>
        <v>401.8215282003614</v>
      </c>
      <c r="X64" s="11"/>
      <c r="Y64" s="11">
        <f t="shared" si="2"/>
        <v>197.77499846335229</v>
      </c>
      <c r="Z64" s="11">
        <f t="shared" si="2"/>
        <v>180.60713649689927</v>
      </c>
      <c r="AA64" s="11">
        <f t="shared" si="2"/>
        <v>396.08015372211338</v>
      </c>
      <c r="AB64" s="11">
        <f t="shared" si="2"/>
        <v>313.32486304164053</v>
      </c>
      <c r="AC64" s="11">
        <f t="shared" si="2"/>
        <v>414.65962806460533</v>
      </c>
      <c r="AD64" s="11">
        <f t="shared" si="2"/>
        <v>390.94378137531214</v>
      </c>
      <c r="AE64" s="11">
        <f t="shared" si="2"/>
        <v>246.9068343026654</v>
      </c>
      <c r="AF64" s="11">
        <f t="shared" si="2"/>
        <v>446.70268643654663</v>
      </c>
      <c r="AG64" s="11">
        <f t="shared" si="2"/>
        <v>138.47284757771476</v>
      </c>
      <c r="AH64" s="11">
        <f t="shared" si="2"/>
        <v>235.61161491477571</v>
      </c>
    </row>
    <row r="65" spans="1:34" x14ac:dyDescent="0.2">
      <c r="A65" s="4"/>
      <c r="B65" s="21" t="s">
        <v>114</v>
      </c>
      <c r="C65" s="22">
        <f>AVERAGE(C64:L64)</f>
        <v>829.52830543745551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22">
        <f>AVERAGE(N64:W64)</f>
        <v>384.23020398968856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22">
        <f>AVERAGE(Y64:AH64)</f>
        <v>296.10845443956254</v>
      </c>
      <c r="Z65" s="12"/>
      <c r="AA65" s="12"/>
      <c r="AB65" s="12"/>
      <c r="AC65" s="12"/>
      <c r="AD65" s="12"/>
      <c r="AE65" s="12"/>
      <c r="AF65" s="12"/>
      <c r="AG65" s="12"/>
      <c r="AH65" s="12"/>
    </row>
    <row r="66" spans="1:34" x14ac:dyDescent="0.2">
      <c r="B66" s="21" t="s">
        <v>115</v>
      </c>
      <c r="C66" s="22">
        <f>STDEV(C64:L64)</f>
        <v>219.05304105489935</v>
      </c>
      <c r="N66" s="22">
        <f>STDEV(N64:W64)</f>
        <v>126.02292571870207</v>
      </c>
      <c r="Y66" s="22">
        <f>STDEV(Y64:AH64)</f>
        <v>110.53263101618721</v>
      </c>
    </row>
  </sheetData>
  <mergeCells count="10">
    <mergeCell ref="A42:B42"/>
    <mergeCell ref="A46:B46"/>
    <mergeCell ref="A63:B63"/>
    <mergeCell ref="A64:B64"/>
    <mergeCell ref="A1:B1"/>
    <mergeCell ref="A2:B2"/>
    <mergeCell ref="A19:B19"/>
    <mergeCell ref="A20:B20"/>
    <mergeCell ref="A24:B24"/>
    <mergeCell ref="A41:B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58FE-1943-9149-920D-E988C4E1F3FD}">
  <dimension ref="A1:AH65"/>
  <sheetViews>
    <sheetView tabSelected="1" zoomScale="125" zoomScaleNormal="70" workbookViewId="0">
      <pane xSplit="2" ySplit="1" topLeftCell="V2" activePane="bottomRight" state="frozenSplit"/>
      <selection pane="topRight" activeCell="C1" sqref="C1"/>
      <selection pane="bottomLeft" activeCell="A2" sqref="A2"/>
      <selection pane="bottomRight" activeCell="AD25" sqref="AD25:AE42"/>
    </sheetView>
  </sheetViews>
  <sheetFormatPr baseColWidth="10" defaultColWidth="8.83203125" defaultRowHeight="15" x14ac:dyDescent="0.2"/>
  <cols>
    <col min="2" max="2" width="37.1640625" customWidth="1"/>
    <col min="3" max="9" width="10.5" bestFit="1" customWidth="1"/>
    <col min="10" max="10" width="10" customWidth="1"/>
    <col min="11" max="11" width="10.6640625" bestFit="1" customWidth="1"/>
    <col min="12" max="14" width="10.5" bestFit="1" customWidth="1"/>
    <col min="15" max="15" width="11.5" bestFit="1" customWidth="1"/>
    <col min="16" max="17" width="10.5" bestFit="1" customWidth="1"/>
    <col min="18" max="18" width="10" customWidth="1"/>
    <col min="19" max="25" width="9.6640625" bestFit="1" customWidth="1"/>
    <col min="26" max="26" width="9.6640625" customWidth="1"/>
    <col min="27" max="28" width="9.6640625" bestFit="1" customWidth="1"/>
    <col min="29" max="29" width="10.5" bestFit="1" customWidth="1"/>
    <col min="30" max="30" width="11" customWidth="1"/>
    <col min="31" max="31" width="10" customWidth="1"/>
    <col min="32" max="32" width="10.1640625" customWidth="1"/>
    <col min="33" max="33" width="10.5" customWidth="1"/>
    <col min="34" max="34" width="10" customWidth="1"/>
  </cols>
  <sheetData>
    <row r="1" spans="1:34" ht="22" x14ac:dyDescent="0.3">
      <c r="A1" s="1" t="s">
        <v>116</v>
      </c>
      <c r="B1" s="1"/>
    </row>
    <row r="2" spans="1:34" ht="16" x14ac:dyDescent="0.2">
      <c r="A2" s="2" t="s">
        <v>1</v>
      </c>
      <c r="B2" s="3"/>
    </row>
    <row r="3" spans="1:34" x14ac:dyDescent="0.2">
      <c r="A3" s="4" t="s">
        <v>2</v>
      </c>
      <c r="B3" s="4"/>
      <c r="C3" s="7" t="s">
        <v>117</v>
      </c>
      <c r="D3" s="7" t="s">
        <v>118</v>
      </c>
      <c r="E3" s="7" t="s">
        <v>119</v>
      </c>
      <c r="F3" s="7" t="s">
        <v>120</v>
      </c>
      <c r="G3" s="7" t="s">
        <v>121</v>
      </c>
      <c r="H3" s="7" t="s">
        <v>122</v>
      </c>
      <c r="I3" s="7" t="s">
        <v>123</v>
      </c>
      <c r="J3" s="7" t="s">
        <v>124</v>
      </c>
      <c r="K3" s="7" t="s">
        <v>125</v>
      </c>
      <c r="L3" s="7" t="s">
        <v>126</v>
      </c>
      <c r="M3" s="7"/>
      <c r="N3" s="7" t="s">
        <v>127</v>
      </c>
      <c r="O3" s="7" t="s">
        <v>128</v>
      </c>
      <c r="P3" s="7"/>
      <c r="Q3" s="7"/>
      <c r="R3" s="7" t="s">
        <v>131</v>
      </c>
      <c r="S3" s="7" t="s">
        <v>132</v>
      </c>
      <c r="T3" s="7" t="s">
        <v>133</v>
      </c>
      <c r="U3" s="7" t="s">
        <v>134</v>
      </c>
      <c r="V3" s="7" t="s">
        <v>135</v>
      </c>
      <c r="W3" s="7" t="s">
        <v>136</v>
      </c>
      <c r="X3" s="23"/>
      <c r="Y3" s="7" t="s">
        <v>137</v>
      </c>
      <c r="Z3" s="7" t="s">
        <v>138</v>
      </c>
      <c r="AA3" s="7" t="s">
        <v>139</v>
      </c>
      <c r="AB3" s="7" t="s">
        <v>140</v>
      </c>
      <c r="AC3" s="7" t="s">
        <v>141</v>
      </c>
      <c r="AD3" s="7" t="s">
        <v>142</v>
      </c>
      <c r="AE3" s="7" t="s">
        <v>143</v>
      </c>
      <c r="AF3" s="7" t="s">
        <v>144</v>
      </c>
      <c r="AG3" s="7" t="s">
        <v>145</v>
      </c>
      <c r="AH3" s="7" t="s">
        <v>146</v>
      </c>
    </row>
    <row r="4" spans="1:34" x14ac:dyDescent="0.2">
      <c r="A4" t="s">
        <v>33</v>
      </c>
      <c r="C4" s="18">
        <f>'[4]SkM - GC Results (nmol g)'!C4/1000</f>
        <v>2.3349896873228894E-2</v>
      </c>
      <c r="D4" s="18">
        <f>'[4]SkM - GC Results (nmol g)'!D4/1000</f>
        <v>1.8360551936101532E-2</v>
      </c>
      <c r="E4" s="18">
        <f>'[4]SkM - GC Results (nmol g)'!E4/1000</f>
        <v>2.2831251339103235E-2</v>
      </c>
      <c r="F4" s="18">
        <f>'[4]SkM - GC Results (nmol g)'!F4/1000</f>
        <v>2.6660759779677402E-2</v>
      </c>
      <c r="G4" s="18">
        <f>'[4]SkM - GC Results (nmol g)'!G4/1000</f>
        <v>2.4183001616440217E-2</v>
      </c>
      <c r="H4" s="18">
        <f>'[4]SkM - GC Results (nmol g)'!H4/1000</f>
        <v>2.3081705738994762E-2</v>
      </c>
      <c r="I4" s="18">
        <f>'[4]SkM - GC Results (nmol g)'!I4/1000</f>
        <v>2.7201815385383972E-2</v>
      </c>
      <c r="J4" s="18">
        <f>'[4]SkM - GC Results (nmol g)'!J4/1000</f>
        <v>2.3513173787819457E-2</v>
      </c>
      <c r="K4" s="18">
        <f>'[4]SkM - GC Results (nmol g)'!K4/1000</f>
        <v>3.2482850885167641E-2</v>
      </c>
      <c r="L4" s="18">
        <f>'[4]SkM - GC Results (nmol g)'!L4/1000</f>
        <v>2.1194174625800973E-2</v>
      </c>
      <c r="M4" s="18"/>
      <c r="N4" s="18">
        <f>'[4]SkM - GC Results (nmol g)'!N4/1000</f>
        <v>2.4274666326134581E-2</v>
      </c>
      <c r="O4" s="18">
        <f>'[4]SkM - GC Results (nmol g)'!O4/1000</f>
        <v>3.3903446318868033E-2</v>
      </c>
      <c r="P4" s="18"/>
      <c r="Q4" s="18"/>
      <c r="R4" s="18">
        <f>'[4]SkM - GC Results (nmol g)'!R4/1000</f>
        <v>2.3649199074420826E-2</v>
      </c>
      <c r="S4" s="18">
        <f>'[4]SkM - GC Results (nmol g)'!S4/1000</f>
        <v>1.6158575161549994E-2</v>
      </c>
      <c r="T4" s="18">
        <f>'[4]SkM - GC Results (nmol g)'!T4/1000</f>
        <v>1.7075474434253043E-2</v>
      </c>
      <c r="U4" s="18">
        <f>'[4]SkM - GC Results (nmol g)'!U4/1000</f>
        <v>1.4256283336313232E-2</v>
      </c>
      <c r="V4" s="18">
        <f>'[4]SkM - GC Results (nmol g)'!V4/1000</f>
        <v>1.7422444004073535E-2</v>
      </c>
      <c r="W4" s="18">
        <f>'[4]SkM - GC Results (nmol g)'!W4/1000</f>
        <v>1.9688416600693339E-2</v>
      </c>
      <c r="X4" s="18"/>
      <c r="Y4" s="18">
        <f>'[4]SkM - GC Results (nmol g)'!Y4/1000</f>
        <v>1.4659980089911401E-2</v>
      </c>
      <c r="Z4" s="18">
        <f>'[4]SkM - GC Results (nmol g)'!Z4/1000</f>
        <v>2.5786714468330692E-2</v>
      </c>
      <c r="AA4" s="18">
        <f>'[4]SkM - GC Results (nmol g)'!AA4/1000</f>
        <v>1.4997155818227935E-2</v>
      </c>
      <c r="AB4" s="18">
        <f>'[4]SkM - GC Results (nmol g)'!AB4/1000</f>
        <v>2.0219813798042895E-2</v>
      </c>
      <c r="AC4" s="18">
        <f>'[4]SkM - GC Results (nmol g)'!AC4/1000</f>
        <v>2.0684904069133234E-2</v>
      </c>
      <c r="AD4" s="18">
        <f>'[4]SkM - GC Results (nmol g)'!AD4/1000</f>
        <v>2.1571042352625809E-2</v>
      </c>
      <c r="AE4" s="18">
        <f>'[4]SkM - GC Results (nmol g)'!AE4/1000</f>
        <v>4.8774959293843158E-2</v>
      </c>
      <c r="AF4" s="18">
        <f>'[4]SkM - GC Results (nmol g)'!AF4/1000</f>
        <v>2.4741227094151046E-2</v>
      </c>
      <c r="AG4" s="18">
        <f>'[4]SkM - GC Results (nmol g)'!AG4/1000</f>
        <v>2.2872036018453612E-2</v>
      </c>
      <c r="AH4" s="18">
        <f>'[4]SkM - GC Results (nmol g)'!AH4/1000</f>
        <v>2.2547199378741788E-2</v>
      </c>
    </row>
    <row r="5" spans="1:34" x14ac:dyDescent="0.2">
      <c r="A5" t="s">
        <v>34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spans="1:34" x14ac:dyDescent="0.2">
      <c r="A6" t="s">
        <v>35</v>
      </c>
      <c r="C6" s="18">
        <f>'[4]SkM - GC Results (nmol g)'!C6/1000</f>
        <v>0.29276744790431053</v>
      </c>
      <c r="D6" s="18">
        <f>'[4]SkM - GC Results (nmol g)'!D6/1000</f>
        <v>0.15738098556363092</v>
      </c>
      <c r="E6" s="18">
        <f>'[4]SkM - GC Results (nmol g)'!E6/1000</f>
        <v>0.24267036838235179</v>
      </c>
      <c r="F6" s="18">
        <f>'[4]SkM - GC Results (nmol g)'!F6/1000</f>
        <v>0.23923224245728131</v>
      </c>
      <c r="G6" s="18">
        <f>'[4]SkM - GC Results (nmol g)'!G6/1000</f>
        <v>0.20765827438339798</v>
      </c>
      <c r="H6" s="18">
        <f>'[4]SkM - GC Results (nmol g)'!H6/1000</f>
        <v>0.20910411170368651</v>
      </c>
      <c r="I6" s="18">
        <f>'[4]SkM - GC Results (nmol g)'!I6/1000</f>
        <v>0.18037062792831415</v>
      </c>
      <c r="J6" s="18">
        <f>'[4]SkM - GC Results (nmol g)'!J6/1000</f>
        <v>0.20408426533843982</v>
      </c>
      <c r="K6" s="18">
        <f>'[4]SkM - GC Results (nmol g)'!K6/1000</f>
        <v>0.19444063031182471</v>
      </c>
      <c r="L6" s="18">
        <f>'[4]SkM - GC Results (nmol g)'!L6/1000</f>
        <v>0.19450999808062511</v>
      </c>
      <c r="M6" s="18"/>
      <c r="N6" s="18">
        <f>'[4]SkM - GC Results (nmol g)'!N6/1000</f>
        <v>0.19023412176872662</v>
      </c>
      <c r="O6" s="18">
        <f>'[4]SkM - GC Results (nmol g)'!O6/1000</f>
        <v>0.22481961878996601</v>
      </c>
      <c r="P6" s="18"/>
      <c r="Q6" s="18"/>
      <c r="R6" s="18">
        <f>'[4]SkM - GC Results (nmol g)'!R6/1000</f>
        <v>0.17959986666550559</v>
      </c>
      <c r="S6" s="18">
        <f>'[4]SkM - GC Results (nmol g)'!S6/1000</f>
        <v>0.1208046383749832</v>
      </c>
      <c r="T6" s="18">
        <f>'[4]SkM - GC Results (nmol g)'!T6/1000</f>
        <v>0.12799044243654997</v>
      </c>
      <c r="U6" s="18">
        <f>'[4]SkM - GC Results (nmol g)'!U6/1000</f>
        <v>0.10145333819400569</v>
      </c>
      <c r="V6" s="18">
        <f>'[4]SkM - GC Results (nmol g)'!V6/1000</f>
        <v>0.1428265145308325</v>
      </c>
      <c r="W6" s="18">
        <f>'[4]SkM - GC Results (nmol g)'!W6/1000</f>
        <v>0.12566211941456967</v>
      </c>
      <c r="X6" s="18"/>
      <c r="Y6" s="18">
        <f>'[4]SkM - GC Results (nmol g)'!Y6/1000</f>
        <v>0.15605844927544235</v>
      </c>
      <c r="Z6" s="18">
        <f>'[4]SkM - GC Results (nmol g)'!Z6/1000</f>
        <v>0.19824311755163182</v>
      </c>
      <c r="AA6" s="18">
        <f>'[4]SkM - GC Results (nmol g)'!AA6/1000</f>
        <v>0.19906424124618477</v>
      </c>
      <c r="AB6" s="18">
        <f>'[4]SkM - GC Results (nmol g)'!AB6/1000</f>
        <v>0.19230259798350902</v>
      </c>
      <c r="AC6" s="18">
        <f>'[4]SkM - GC Results (nmol g)'!AC6/1000</f>
        <v>0.22825979477110112</v>
      </c>
      <c r="AD6" s="18">
        <f>'[4]SkM - GC Results (nmol g)'!AD6/1000</f>
        <v>0.24394320825389953</v>
      </c>
      <c r="AE6" s="18">
        <f>'[4]SkM - GC Results (nmol g)'!AE6/1000</f>
        <v>0.55309930183655276</v>
      </c>
      <c r="AF6" s="18">
        <f>'[4]SkM - GC Results (nmol g)'!AF6/1000</f>
        <v>0.19996231486446911</v>
      </c>
      <c r="AG6" s="18">
        <f>'[4]SkM - GC Results (nmol g)'!AG6/1000</f>
        <v>0.17889179041842326</v>
      </c>
      <c r="AH6" s="18">
        <f>'[4]SkM - GC Results (nmol g)'!AH6/1000</f>
        <v>0.14587667735861493</v>
      </c>
    </row>
    <row r="7" spans="1:34" x14ac:dyDescent="0.2">
      <c r="A7" t="s">
        <v>36</v>
      </c>
      <c r="C7" s="18">
        <f>'[4]SkM - GC Results (nmol g)'!C7/1000</f>
        <v>1.5936067122231175E-2</v>
      </c>
      <c r="D7" s="18">
        <f>'[4]SkM - GC Results (nmol g)'!D7/1000</f>
        <v>1.442084581390065E-2</v>
      </c>
      <c r="E7" s="18">
        <f>'[4]SkM - GC Results (nmol g)'!E7/1000</f>
        <v>1.8617391335151084E-2</v>
      </c>
      <c r="F7" s="18">
        <f>'[4]SkM - GC Results (nmol g)'!F7/1000</f>
        <v>2.1013035349039248E-2</v>
      </c>
      <c r="G7" s="18">
        <f>'[4]SkM - GC Results (nmol g)'!G7/1000</f>
        <v>1.8600638231750673E-2</v>
      </c>
      <c r="H7" s="18">
        <f>'[4]SkM - GC Results (nmol g)'!H7/1000</f>
        <v>1.6210382331480505E-2</v>
      </c>
      <c r="I7" s="18">
        <f>'[4]SkM - GC Results (nmol g)'!I7/1000</f>
        <v>2.1694982376050415E-2</v>
      </c>
      <c r="J7" s="18">
        <f>'[4]SkM - GC Results (nmol g)'!J7/1000</f>
        <v>2.0638974356650939E-2</v>
      </c>
      <c r="K7" s="18">
        <f>'[4]SkM - GC Results (nmol g)'!K7/1000</f>
        <v>2.0959389035183611E-2</v>
      </c>
      <c r="L7" s="18">
        <f>'[4]SkM - GC Results (nmol g)'!L7/1000</f>
        <v>2.2510634275804828E-2</v>
      </c>
      <c r="M7" s="18"/>
      <c r="N7" s="18">
        <f>'[4]SkM - GC Results (nmol g)'!N7/1000</f>
        <v>1.7116593218301876E-2</v>
      </c>
      <c r="O7" s="18">
        <f>'[4]SkM - GC Results (nmol g)'!O7/1000</f>
        <v>2.164393235771014E-2</v>
      </c>
      <c r="P7" s="18"/>
      <c r="Q7" s="18"/>
      <c r="R7" s="18">
        <f>'[4]SkM - GC Results (nmol g)'!R7/1000</f>
        <v>1.4828447794997283E-2</v>
      </c>
      <c r="S7" s="18">
        <f>'[4]SkM - GC Results (nmol g)'!S7/1000</f>
        <v>1.3408375280161301E-2</v>
      </c>
      <c r="T7" s="18">
        <f>'[4]SkM - GC Results (nmol g)'!T7/1000</f>
        <v>1.2485647011393415E-2</v>
      </c>
      <c r="U7" s="18">
        <f>'[4]SkM - GC Results (nmol g)'!U7/1000</f>
        <v>1.2969931381710199E-2</v>
      </c>
      <c r="V7" s="18">
        <f>'[4]SkM - GC Results (nmol g)'!V7/1000</f>
        <v>1.787115449092045E-2</v>
      </c>
      <c r="W7" s="18">
        <f>'[4]SkM - GC Results (nmol g)'!W7/1000</f>
        <v>1.2253087489527513E-2</v>
      </c>
      <c r="X7" s="18"/>
      <c r="Y7" s="18">
        <f>'[4]SkM - GC Results (nmol g)'!Y7/1000</f>
        <v>1.3150639564188216E-2</v>
      </c>
      <c r="Z7" s="18">
        <f>'[4]SkM - GC Results (nmol g)'!Z7/1000</f>
        <v>2.1014613177767712E-2</v>
      </c>
      <c r="AA7" s="18">
        <f>'[4]SkM - GC Results (nmol g)'!AA7/1000</f>
        <v>1.4644361937494637E-2</v>
      </c>
      <c r="AB7" s="18">
        <f>'[4]SkM - GC Results (nmol g)'!AB7/1000</f>
        <v>1.6100679821258096E-2</v>
      </c>
      <c r="AC7" s="18">
        <f>'[4]SkM - GC Results (nmol g)'!AC7/1000</f>
        <v>1.996325082229217E-2</v>
      </c>
      <c r="AD7" s="18">
        <f>'[4]SkM - GC Results (nmol g)'!AD7/1000</f>
        <v>1.7091608201176622E-2</v>
      </c>
      <c r="AE7" s="18">
        <f>'[4]SkM - GC Results (nmol g)'!AE7/1000</f>
        <v>2.3383544067142558E-2</v>
      </c>
      <c r="AF7" s="18">
        <f>'[4]SkM - GC Results (nmol g)'!AF7/1000</f>
        <v>1.1212919955224485E-2</v>
      </c>
      <c r="AG7" s="18">
        <f>'[4]SkM - GC Results (nmol g)'!AG7/1000</f>
        <v>1.0866636877217837E-2</v>
      </c>
      <c r="AH7" s="18">
        <f>'[4]SkM - GC Results (nmol g)'!AH7/1000</f>
        <v>1.5475737291456683E-2</v>
      </c>
    </row>
    <row r="8" spans="1:34" x14ac:dyDescent="0.2">
      <c r="A8" t="s">
        <v>37</v>
      </c>
      <c r="C8" s="18">
        <f>'[4]SkM - GC Results (nmol g)'!C8/1000</f>
        <v>0.27729298672331909</v>
      </c>
      <c r="D8" s="18">
        <f>'[4]SkM - GC Results (nmol g)'!D8/1000</f>
        <v>0.2218687571565291</v>
      </c>
      <c r="E8" s="18">
        <f>'[4]SkM - GC Results (nmol g)'!E8/1000</f>
        <v>0.26235788439110946</v>
      </c>
      <c r="F8" s="18">
        <f>'[4]SkM - GC Results (nmol g)'!F8/1000</f>
        <v>0.26634819236172219</v>
      </c>
      <c r="G8" s="18">
        <f>'[4]SkM - GC Results (nmol g)'!G8/1000</f>
        <v>0.26975266980884594</v>
      </c>
      <c r="H8" s="18">
        <f>'[4]SkM - GC Results (nmol g)'!H8/1000</f>
        <v>0.21917542916154634</v>
      </c>
      <c r="I8" s="18">
        <f>'[4]SkM - GC Results (nmol g)'!I8/1000</f>
        <v>0.21823311475019999</v>
      </c>
      <c r="J8" s="18">
        <f>'[4]SkM - GC Results (nmol g)'!J8/1000</f>
        <v>0.22618715615018983</v>
      </c>
      <c r="K8" s="18">
        <f>'[4]SkM - GC Results (nmol g)'!K8/1000</f>
        <v>0.25296264293111365</v>
      </c>
      <c r="L8" s="18">
        <f>'[4]SkM - GC Results (nmol g)'!L8/1000</f>
        <v>0.24583725869111128</v>
      </c>
      <c r="M8" s="18"/>
      <c r="N8" s="18">
        <f>'[4]SkM - GC Results (nmol g)'!N8/1000</f>
        <v>0.26815170375268282</v>
      </c>
      <c r="O8" s="18">
        <f>'[4]SkM - GC Results (nmol g)'!O8/1000</f>
        <v>0.27195994632691667</v>
      </c>
      <c r="P8" s="18"/>
      <c r="Q8" s="18"/>
      <c r="R8" s="18">
        <f>'[4]SkM - GC Results (nmol g)'!R8/1000</f>
        <v>0.15807415941957639</v>
      </c>
      <c r="S8" s="18">
        <f>'[4]SkM - GC Results (nmol g)'!S8/1000</f>
        <v>0.13385616511871656</v>
      </c>
      <c r="T8" s="18">
        <f>'[4]SkM - GC Results (nmol g)'!T8/1000</f>
        <v>0.22417423374512535</v>
      </c>
      <c r="U8" s="18">
        <f>'[4]SkM - GC Results (nmol g)'!U8/1000</f>
        <v>0.15620853074015006</v>
      </c>
      <c r="V8" s="18">
        <f>'[4]SkM - GC Results (nmol g)'!V8/1000</f>
        <v>0.15815759885151018</v>
      </c>
      <c r="W8" s="18">
        <f>'[4]SkM - GC Results (nmol g)'!W8/1000</f>
        <v>0.16565038880328625</v>
      </c>
      <c r="X8" s="18"/>
      <c r="Y8" s="18">
        <f>'[4]SkM - GC Results (nmol g)'!Y8/1000</f>
        <v>0.16849879847069221</v>
      </c>
      <c r="Z8" s="18">
        <f>'[4]SkM - GC Results (nmol g)'!Z8/1000</f>
        <v>0.17265743885871856</v>
      </c>
      <c r="AA8" s="18">
        <f>'[4]SkM - GC Results (nmol g)'!AA8/1000</f>
        <v>0.23203132568376253</v>
      </c>
      <c r="AB8" s="18">
        <f>'[4]SkM - GC Results (nmol g)'!AB8/1000</f>
        <v>0.20267032657790887</v>
      </c>
      <c r="AC8" s="18">
        <f>'[4]SkM - GC Results (nmol g)'!AC8/1000</f>
        <v>0.19676153090868484</v>
      </c>
      <c r="AD8" s="18">
        <f>'[4]SkM - GC Results (nmol g)'!AD8/1000</f>
        <v>0.23208548861842113</v>
      </c>
      <c r="AE8" s="18">
        <f>'[4]SkM - GC Results (nmol g)'!AE8/1000</f>
        <v>0.44238121757769244</v>
      </c>
      <c r="AF8" s="18">
        <f>'[4]SkM - GC Results (nmol g)'!AF8/1000</f>
        <v>0.19773197279626126</v>
      </c>
      <c r="AG8" s="18">
        <f>'[4]SkM - GC Results (nmol g)'!AG8/1000</f>
        <v>0.21231998877599667</v>
      </c>
      <c r="AH8" s="18">
        <f>'[4]SkM - GC Results (nmol g)'!AH8/1000</f>
        <v>0.15859862219565718</v>
      </c>
    </row>
    <row r="9" spans="1:34" x14ac:dyDescent="0.2">
      <c r="A9" t="s">
        <v>38</v>
      </c>
      <c r="C9" s="18">
        <f>'[4]SkM - GC Results (nmol g)'!C9/1000</f>
        <v>4.8966166947745728E-2</v>
      </c>
      <c r="D9" s="18">
        <f>'[4]SkM - GC Results (nmol g)'!D9/1000</f>
        <v>3.9486807074671441E-2</v>
      </c>
      <c r="E9" s="18">
        <f>'[4]SkM - GC Results (nmol g)'!E9/1000</f>
        <v>5.5720629796461529E-2</v>
      </c>
      <c r="F9" s="18">
        <f>'[4]SkM - GC Results (nmol g)'!F9/1000</f>
        <v>6.9105497504099736E-2</v>
      </c>
      <c r="G9" s="18">
        <f>'[4]SkM - GC Results (nmol g)'!G9/1000</f>
        <v>5.7248469582841244E-2</v>
      </c>
      <c r="H9" s="18">
        <f>'[4]SkM - GC Results (nmol g)'!H9/1000</f>
        <v>5.1906911448960785E-2</v>
      </c>
      <c r="I9" s="18">
        <f>'[4]SkM - GC Results (nmol g)'!I9/1000</f>
        <v>5.7426577651247965E-2</v>
      </c>
      <c r="J9" s="18">
        <f>'[4]SkM - GC Results (nmol g)'!J9/1000</f>
        <v>5.3159280522666351E-2</v>
      </c>
      <c r="K9" s="18">
        <f>'[4]SkM - GC Results (nmol g)'!K9/1000</f>
        <v>5.7147798921793287E-2</v>
      </c>
      <c r="L9" s="18">
        <f>'[4]SkM - GC Results (nmol g)'!L9/1000</f>
        <v>6.4786058632324089E-2</v>
      </c>
      <c r="M9" s="18"/>
      <c r="N9" s="18">
        <f>'[4]SkM - GC Results (nmol g)'!N9/1000</f>
        <v>6.44901204556972E-2</v>
      </c>
      <c r="O9" s="18">
        <f>'[4]SkM - GC Results (nmol g)'!O9/1000</f>
        <v>6.7204228176247188E-2</v>
      </c>
      <c r="P9" s="18"/>
      <c r="Q9" s="18"/>
      <c r="R9" s="18">
        <f>'[4]SkM - GC Results (nmol g)'!R9/1000</f>
        <v>4.8193353222926824E-2</v>
      </c>
      <c r="S9" s="18">
        <f>'[4]SkM - GC Results (nmol g)'!S9/1000</f>
        <v>4.0455643901310942E-2</v>
      </c>
      <c r="T9" s="18">
        <f>'[4]SkM - GC Results (nmol g)'!T9/1000</f>
        <v>4.3395814470821054E-2</v>
      </c>
      <c r="U9" s="18">
        <f>'[4]SkM - GC Results (nmol g)'!U9/1000</f>
        <v>3.6998006138382444E-2</v>
      </c>
      <c r="V9" s="18">
        <f>'[4]SkM - GC Results (nmol g)'!V9/1000</f>
        <v>5.392087538446818E-2</v>
      </c>
      <c r="W9" s="18">
        <f>'[4]SkM - GC Results (nmol g)'!W9/1000</f>
        <v>4.6520693954841603E-2</v>
      </c>
      <c r="X9" s="18"/>
      <c r="Y9" s="18">
        <f>'[4]SkM - GC Results (nmol g)'!Y9/1000</f>
        <v>4.2347748880297825E-2</v>
      </c>
      <c r="Z9" s="18">
        <f>'[4]SkM - GC Results (nmol g)'!Z9/1000</f>
        <v>6.5138375729059547E-2</v>
      </c>
      <c r="AA9" s="18">
        <f>'[4]SkM - GC Results (nmol g)'!AA9/1000</f>
        <v>5.5558496691974921E-2</v>
      </c>
      <c r="AB9" s="18">
        <f>'[4]SkM - GC Results (nmol g)'!AB9/1000</f>
        <v>5.860165348830907E-2</v>
      </c>
      <c r="AC9" s="18">
        <f>'[4]SkM - GC Results (nmol g)'!AC9/1000</f>
        <v>7.7112887675754638E-2</v>
      </c>
      <c r="AD9" s="18">
        <f>'[4]SkM - GC Results (nmol g)'!AD9/1000</f>
        <v>6.3807044408836014E-2</v>
      </c>
      <c r="AE9" s="18">
        <f>'[4]SkM - GC Results (nmol g)'!AE9/1000</f>
        <v>6.2319431042473006E-2</v>
      </c>
      <c r="AF9" s="18">
        <f>'[4]SkM - GC Results (nmol g)'!AF9/1000</f>
        <v>3.532123625274531E-2</v>
      </c>
      <c r="AG9" s="18">
        <f>'[4]SkM - GC Results (nmol g)'!AG9/1000</f>
        <v>3.6652817388937498E-2</v>
      </c>
      <c r="AH9" s="18">
        <f>'[4]SkM - GC Results (nmol g)'!AH9/1000</f>
        <v>4.2346823565813561E-2</v>
      </c>
    </row>
    <row r="10" spans="1:34" x14ac:dyDescent="0.2">
      <c r="A10" t="s">
        <v>39</v>
      </c>
      <c r="C10" s="18">
        <f>'[4]SkM - GC Results (nmol g)'!C10/1000</f>
        <v>1.7482968915109292E-2</v>
      </c>
      <c r="D10" s="18">
        <f>'[4]SkM - GC Results (nmol g)'!D10/1000</f>
        <v>1.8587534245173863E-2</v>
      </c>
      <c r="E10" s="18">
        <f>'[4]SkM - GC Results (nmol g)'!E10/1000</f>
        <v>2.3227220862416437E-2</v>
      </c>
      <c r="F10" s="18">
        <f>'[4]SkM - GC Results (nmol g)'!F10/1000</f>
        <v>4.4117602966895833E-2</v>
      </c>
      <c r="G10" s="18">
        <f>'[4]SkM - GC Results (nmol g)'!G10/1000</f>
        <v>1.6390679919659104E-2</v>
      </c>
      <c r="H10" s="18">
        <f>'[4]SkM - GC Results (nmol g)'!H10/1000</f>
        <v>2.7617438434003598E-2</v>
      </c>
      <c r="I10" s="18">
        <f>'[4]SkM - GC Results (nmol g)'!I10/1000</f>
        <v>1.4666558489716736E-3</v>
      </c>
      <c r="J10" s="18">
        <f>'[4]SkM - GC Results (nmol g)'!J10/1000</f>
        <v>2.3764145670834131E-3</v>
      </c>
      <c r="K10" s="18">
        <f>'[4]SkM - GC Results (nmol g)'!K10/1000</f>
        <v>7.9162501193318839E-4</v>
      </c>
      <c r="L10" s="18">
        <f>'[4]SkM - GC Results (nmol g)'!L10/1000</f>
        <v>2.0608331650309172E-2</v>
      </c>
      <c r="M10" s="18"/>
      <c r="N10" s="18">
        <f>'[4]SkM - GC Results (nmol g)'!N10/1000</f>
        <v>2.6357523915424008E-3</v>
      </c>
      <c r="O10" s="18">
        <f>'[4]SkM - GC Results (nmol g)'!O10/1000</f>
        <v>2.4615490681396072E-2</v>
      </c>
      <c r="P10" s="18"/>
      <c r="Q10" s="18"/>
      <c r="R10" s="18">
        <f>'[4]SkM - GC Results (nmol g)'!R10/1000</f>
        <v>6.167572070695084E-3</v>
      </c>
      <c r="S10" s="18">
        <f>'[4]SkM - GC Results (nmol g)'!S10/1000</f>
        <v>1.5948232240610945E-4</v>
      </c>
      <c r="T10" s="18">
        <f>'[4]SkM - GC Results (nmol g)'!T10/1000</f>
        <v>0</v>
      </c>
      <c r="U10" s="18">
        <f>'[4]SkM - GC Results (nmol g)'!U10/1000</f>
        <v>0</v>
      </c>
      <c r="V10" s="18">
        <f>'[4]SkM - GC Results (nmol g)'!V10/1000</f>
        <v>2.1097832589521393E-3</v>
      </c>
      <c r="W10" s="18">
        <f>'[4]SkM - GC Results (nmol g)'!W10/1000</f>
        <v>0</v>
      </c>
      <c r="X10" s="18"/>
      <c r="Y10" s="18">
        <f>'[4]SkM - GC Results (nmol g)'!Y10/1000</f>
        <v>5.9548587329558613E-3</v>
      </c>
      <c r="Z10" s="18">
        <f>'[4]SkM - GC Results (nmol g)'!Z10/1000</f>
        <v>1.2218147589707804E-2</v>
      </c>
      <c r="AA10" s="18">
        <f>'[4]SkM - GC Results (nmol g)'!AA10/1000</f>
        <v>4.8757284378994403E-2</v>
      </c>
      <c r="AB10" s="18">
        <f>'[4]SkM - GC Results (nmol g)'!AB10/1000</f>
        <v>1.9370521218000248E-2</v>
      </c>
      <c r="AC10" s="18">
        <f>'[4]SkM - GC Results (nmol g)'!AC10/1000</f>
        <v>1.7952737312445604E-2</v>
      </c>
      <c r="AD10" s="18">
        <f>'[4]SkM - GC Results (nmol g)'!AD10/1000</f>
        <v>2.8879191815798431E-2</v>
      </c>
      <c r="AE10" s="18">
        <f>'[4]SkM - GC Results (nmol g)'!AE10/1000</f>
        <v>6.1006414689089824E-3</v>
      </c>
      <c r="AF10" s="18">
        <f>'[4]SkM - GC Results (nmol g)'!AF10/1000</f>
        <v>0</v>
      </c>
      <c r="AG10" s="18">
        <f>'[4]SkM - GC Results (nmol g)'!AG10/1000</f>
        <v>9.1350688549330294E-4</v>
      </c>
      <c r="AH10" s="18">
        <f>'[4]SkM - GC Results (nmol g)'!AH10/1000</f>
        <v>0</v>
      </c>
    </row>
    <row r="11" spans="1:34" x14ac:dyDescent="0.2">
      <c r="A11" t="s">
        <v>40</v>
      </c>
      <c r="C11" s="18">
        <f>'[4]SkM - GC Results (nmol g)'!C11/1000</f>
        <v>1.1150346330118733E-2</v>
      </c>
      <c r="D11" s="18">
        <f>'[4]SkM - GC Results (nmol g)'!D11/1000</f>
        <v>8.5720982308322459E-3</v>
      </c>
      <c r="E11" s="18">
        <f>'[4]SkM - GC Results (nmol g)'!E11/1000</f>
        <v>1.1533091608884339E-2</v>
      </c>
      <c r="F11" s="18">
        <f>'[4]SkM - GC Results (nmol g)'!F11/1000</f>
        <v>1.3500042814836823E-2</v>
      </c>
      <c r="G11" s="18">
        <f>'[4]SkM - GC Results (nmol g)'!G11/1000</f>
        <v>1.2994749225825221E-2</v>
      </c>
      <c r="H11" s="18">
        <f>'[4]SkM - GC Results (nmol g)'!H11/1000</f>
        <v>1.1080870990170584E-2</v>
      </c>
      <c r="I11" s="18">
        <f>'[4]SkM - GC Results (nmol g)'!I11/1000</f>
        <v>1.3454644210540925E-2</v>
      </c>
      <c r="J11" s="18">
        <f>'[4]SkM - GC Results (nmol g)'!J11/1000</f>
        <v>1.4640313594029787E-2</v>
      </c>
      <c r="K11" s="18">
        <f>'[4]SkM - GC Results (nmol g)'!K11/1000</f>
        <v>1.1461135389343097E-2</v>
      </c>
      <c r="L11" s="18">
        <f>'[4]SkM - GC Results (nmol g)'!L11/1000</f>
        <v>1.2139786629704099E-2</v>
      </c>
      <c r="M11" s="18"/>
      <c r="N11" s="18">
        <f>'[4]SkM - GC Results (nmol g)'!N11/1000</f>
        <v>1.659387721749514E-2</v>
      </c>
      <c r="O11" s="18">
        <f>'[4]SkM - GC Results (nmol g)'!O11/1000</f>
        <v>1.8197078528004933E-2</v>
      </c>
      <c r="P11" s="18"/>
      <c r="Q11" s="18"/>
      <c r="R11" s="18">
        <f>'[4]SkM - GC Results (nmol g)'!R11/1000</f>
        <v>9.1338484500550991E-3</v>
      </c>
      <c r="S11" s="18">
        <f>'[4]SkM - GC Results (nmol g)'!S11/1000</f>
        <v>1.0189097053422452E-2</v>
      </c>
      <c r="T11" s="18">
        <f>'[4]SkM - GC Results (nmol g)'!T11/1000</f>
        <v>1.0948850568427381E-2</v>
      </c>
      <c r="U11" s="18">
        <f>'[4]SkM - GC Results (nmol g)'!U11/1000</f>
        <v>9.7638553638820132E-3</v>
      </c>
      <c r="V11" s="18">
        <f>'[4]SkM - GC Results (nmol g)'!V11/1000</f>
        <v>1.2769731519677686E-2</v>
      </c>
      <c r="W11" s="18">
        <f>'[4]SkM - GC Results (nmol g)'!W11/1000</f>
        <v>9.8088775148609079E-3</v>
      </c>
      <c r="X11" s="18"/>
      <c r="Y11" s="18">
        <f>'[4]SkM - GC Results (nmol g)'!Y11/1000</f>
        <v>8.0611600102755473E-3</v>
      </c>
      <c r="Z11" s="18">
        <f>'[4]SkM - GC Results (nmol g)'!Z11/1000</f>
        <v>1.0724956168655821E-2</v>
      </c>
      <c r="AA11" s="18">
        <f>'[4]SkM - GC Results (nmol g)'!AA11/1000</f>
        <v>9.6470722592070755E-3</v>
      </c>
      <c r="AB11" s="18">
        <f>'[4]SkM - GC Results (nmol g)'!AB11/1000</f>
        <v>1.142968492447601E-2</v>
      </c>
      <c r="AC11" s="18">
        <f>'[4]SkM - GC Results (nmol g)'!AC11/1000</f>
        <v>1.5089477187343608E-2</v>
      </c>
      <c r="AD11" s="18">
        <f>'[4]SkM - GC Results (nmol g)'!AD11/1000</f>
        <v>1.0687816915632359E-2</v>
      </c>
      <c r="AE11" s="18">
        <f>'[4]SkM - GC Results (nmol g)'!AE11/1000</f>
        <v>1.4914878821801916E-2</v>
      </c>
      <c r="AF11" s="18">
        <f>'[4]SkM - GC Results (nmol g)'!AF11/1000</f>
        <v>8.3042430693577689E-3</v>
      </c>
      <c r="AG11" s="18">
        <f>'[4]SkM - GC Results (nmol g)'!AG11/1000</f>
        <v>7.3445140650836606E-3</v>
      </c>
      <c r="AH11" s="18">
        <f>'[4]SkM - GC Results (nmol g)'!AH11/1000</f>
        <v>9.0086835161134922E-3</v>
      </c>
    </row>
    <row r="12" spans="1:34" x14ac:dyDescent="0.2">
      <c r="A12" t="s">
        <v>41</v>
      </c>
      <c r="C12" s="18">
        <f>'[4]SkM - GC Results (nmol g)'!C12/1000</f>
        <v>0</v>
      </c>
      <c r="D12" s="18">
        <f>'[4]SkM - GC Results (nmol g)'!D12/1000</f>
        <v>0</v>
      </c>
      <c r="E12" s="18">
        <f>'[4]SkM - GC Results (nmol g)'!E12/1000</f>
        <v>0</v>
      </c>
      <c r="F12" s="18">
        <f>'[4]SkM - GC Results (nmol g)'!F12/1000</f>
        <v>0</v>
      </c>
      <c r="G12" s="18">
        <f>'[4]SkM - GC Results (nmol g)'!G12/1000</f>
        <v>0</v>
      </c>
      <c r="H12" s="18">
        <f>'[4]SkM - GC Results (nmol g)'!H12/1000</f>
        <v>0</v>
      </c>
      <c r="I12" s="18">
        <f>'[4]SkM - GC Results (nmol g)'!I12/1000</f>
        <v>0</v>
      </c>
      <c r="J12" s="18">
        <f>'[4]SkM - GC Results (nmol g)'!J12/1000</f>
        <v>0</v>
      </c>
      <c r="K12" s="18">
        <f>'[4]SkM - GC Results (nmol g)'!K12/1000</f>
        <v>0</v>
      </c>
      <c r="L12" s="18">
        <f>'[4]SkM - GC Results (nmol g)'!L12/1000</f>
        <v>0</v>
      </c>
      <c r="M12" s="18"/>
      <c r="N12" s="18">
        <f>'[4]SkM - GC Results (nmol g)'!N12/1000</f>
        <v>0</v>
      </c>
      <c r="O12" s="18">
        <f>'[4]SkM - GC Results (nmol g)'!O12/1000</f>
        <v>0</v>
      </c>
      <c r="P12" s="18"/>
      <c r="Q12" s="18"/>
      <c r="R12" s="18">
        <f>'[4]SkM - GC Results (nmol g)'!R12/1000</f>
        <v>0</v>
      </c>
      <c r="S12" s="18">
        <f>'[4]SkM - GC Results (nmol g)'!S12/1000</f>
        <v>0</v>
      </c>
      <c r="T12" s="18">
        <f>'[4]SkM - GC Results (nmol g)'!T12/1000</f>
        <v>0</v>
      </c>
      <c r="U12" s="18">
        <f>'[4]SkM - GC Results (nmol g)'!U12/1000</f>
        <v>0</v>
      </c>
      <c r="V12" s="18">
        <f>'[4]SkM - GC Results (nmol g)'!V12/1000</f>
        <v>0</v>
      </c>
      <c r="W12" s="18">
        <f>'[4]SkM - GC Results (nmol g)'!W12/1000</f>
        <v>0</v>
      </c>
      <c r="X12" s="18"/>
      <c r="Y12" s="18">
        <f>'[4]SkM - GC Results (nmol g)'!Y12/1000</f>
        <v>0</v>
      </c>
      <c r="Z12" s="18">
        <f>'[4]SkM - GC Results (nmol g)'!Z12/1000</f>
        <v>0</v>
      </c>
      <c r="AA12" s="18">
        <f>'[4]SkM - GC Results (nmol g)'!AA12/1000</f>
        <v>0</v>
      </c>
      <c r="AB12" s="18">
        <f>'[4]SkM - GC Results (nmol g)'!AB12/1000</f>
        <v>0</v>
      </c>
      <c r="AC12" s="18">
        <f>'[4]SkM - GC Results (nmol g)'!AC12/1000</f>
        <v>0</v>
      </c>
      <c r="AD12" s="18">
        <f>'[4]SkM - GC Results (nmol g)'!AD12/1000</f>
        <v>0</v>
      </c>
      <c r="AE12" s="18">
        <f>'[4]SkM - GC Results (nmol g)'!AE12/1000</f>
        <v>0</v>
      </c>
      <c r="AF12" s="18">
        <f>'[4]SkM - GC Results (nmol g)'!AF12/1000</f>
        <v>0</v>
      </c>
      <c r="AG12" s="18">
        <f>'[4]SkM - GC Results (nmol g)'!AG12/1000</f>
        <v>0</v>
      </c>
      <c r="AH12" s="18">
        <f>'[4]SkM - GC Results (nmol g)'!AH12/1000</f>
        <v>0</v>
      </c>
    </row>
    <row r="13" spans="1:34" x14ac:dyDescent="0.2">
      <c r="A13" t="s">
        <v>42</v>
      </c>
      <c r="C13" s="18">
        <f>'[4]SkM - GC Results (nmol g)'!C13/1000</f>
        <v>2.0319299603549126E-2</v>
      </c>
      <c r="D13" s="18">
        <f>'[4]SkM - GC Results (nmol g)'!D13/1000</f>
        <v>1.7748654560605967E-2</v>
      </c>
      <c r="E13" s="18">
        <f>'[4]SkM - GC Results (nmol g)'!E13/1000</f>
        <v>2.1443326833699549E-2</v>
      </c>
      <c r="F13" s="18">
        <f>'[4]SkM - GC Results (nmol g)'!F13/1000</f>
        <v>3.1366462679657807E-2</v>
      </c>
      <c r="G13" s="18">
        <f>'[4]SkM - GC Results (nmol g)'!G13/1000</f>
        <v>2.5642322292003944E-2</v>
      </c>
      <c r="H13" s="18">
        <f>'[4]SkM - GC Results (nmol g)'!H13/1000</f>
        <v>2.4726791570346129E-2</v>
      </c>
      <c r="I13" s="18">
        <f>'[4]SkM - GC Results (nmol g)'!I13/1000</f>
        <v>2.6023930627965673E-2</v>
      </c>
      <c r="J13" s="18">
        <f>'[4]SkM - GC Results (nmol g)'!J13/1000</f>
        <v>2.7769339619437634E-2</v>
      </c>
      <c r="K13" s="18">
        <f>'[4]SkM - GC Results (nmol g)'!K13/1000</f>
        <v>2.8632702860177543E-2</v>
      </c>
      <c r="L13" s="18">
        <f>'[4]SkM - GC Results (nmol g)'!L13/1000</f>
        <v>2.6815657328276295E-2</v>
      </c>
      <c r="M13" s="18"/>
      <c r="N13" s="18">
        <f>'[4]SkM - GC Results (nmol g)'!N13/1000</f>
        <v>3.4886986664970462E-2</v>
      </c>
      <c r="O13" s="18">
        <f>'[4]SkM - GC Results (nmol g)'!O13/1000</f>
        <v>2.9613799684427049E-2</v>
      </c>
      <c r="P13" s="18"/>
      <c r="Q13" s="18"/>
      <c r="R13" s="18">
        <f>'[4]SkM - GC Results (nmol g)'!R13/1000</f>
        <v>2.086264034202167E-2</v>
      </c>
      <c r="S13" s="18">
        <f>'[4]SkM - GC Results (nmol g)'!S13/1000</f>
        <v>2.4198596212150234E-2</v>
      </c>
      <c r="T13" s="18">
        <f>'[4]SkM - GC Results (nmol g)'!T13/1000</f>
        <v>2.4626564473613579E-2</v>
      </c>
      <c r="U13" s="18">
        <f>'[4]SkM - GC Results (nmol g)'!U13/1000</f>
        <v>2.3024474874496128E-2</v>
      </c>
      <c r="V13" s="18">
        <f>'[4]SkM - GC Results (nmol g)'!V13/1000</f>
        <v>2.8329034760829364E-2</v>
      </c>
      <c r="W13" s="18">
        <f>'[4]SkM - GC Results (nmol g)'!W13/1000</f>
        <v>2.5149987662076417E-2</v>
      </c>
      <c r="X13" s="18"/>
      <c r="Y13" s="18">
        <f>'[4]SkM - GC Results (nmol g)'!Y13/1000</f>
        <v>1.7493163587302938E-2</v>
      </c>
      <c r="Z13" s="18">
        <f>'[4]SkM - GC Results (nmol g)'!Z13/1000</f>
        <v>2.567569224119692E-2</v>
      </c>
      <c r="AA13" s="18">
        <f>'[4]SkM - GC Results (nmol g)'!AA13/1000</f>
        <v>2.0399624638036695E-2</v>
      </c>
      <c r="AB13" s="18">
        <f>'[4]SkM - GC Results (nmol g)'!AB13/1000</f>
        <v>2.4092122446893321E-2</v>
      </c>
      <c r="AC13" s="18">
        <f>'[4]SkM - GC Results (nmol g)'!AC13/1000</f>
        <v>2.5512042913166246E-2</v>
      </c>
      <c r="AD13" s="18">
        <f>'[4]SkM - GC Results (nmol g)'!AD13/1000</f>
        <v>2.567926734580088E-2</v>
      </c>
      <c r="AE13" s="18">
        <f>'[4]SkM - GC Results (nmol g)'!AE13/1000</f>
        <v>3.3438869158333391E-2</v>
      </c>
      <c r="AF13" s="18">
        <f>'[4]SkM - GC Results (nmol g)'!AF13/1000</f>
        <v>1.7651722408655684E-2</v>
      </c>
      <c r="AG13" s="18">
        <f>'[4]SkM - GC Results (nmol g)'!AG13/1000</f>
        <v>1.6874184776665174E-2</v>
      </c>
      <c r="AH13" s="18">
        <f>'[4]SkM - GC Results (nmol g)'!AH13/1000</f>
        <v>2.4779885092206296E-2</v>
      </c>
    </row>
    <row r="14" spans="1:34" x14ac:dyDescent="0.2">
      <c r="A14" t="s">
        <v>43</v>
      </c>
      <c r="C14" s="18">
        <f>'[4]SkM - GC Results (nmol g)'!C14/1000</f>
        <v>4.3339279107452472E-2</v>
      </c>
      <c r="D14" s="18">
        <f>'[4]SkM - GC Results (nmol g)'!D14/1000</f>
        <v>3.9589141241435706E-2</v>
      </c>
      <c r="E14" s="18">
        <f>'[4]SkM - GC Results (nmol g)'!E14/1000</f>
        <v>6.3056409266853672E-2</v>
      </c>
      <c r="F14" s="18">
        <f>'[4]SkM - GC Results (nmol g)'!F14/1000</f>
        <v>5.5521028429734873E-2</v>
      </c>
      <c r="G14" s="18">
        <f>'[4]SkM - GC Results (nmol g)'!G14/1000</f>
        <v>3.1528600811580494E-2</v>
      </c>
      <c r="H14" s="18">
        <f>'[4]SkM - GC Results (nmol g)'!H14/1000</f>
        <v>3.8418416047025949E-2</v>
      </c>
      <c r="I14" s="18">
        <f>'[4]SkM - GC Results (nmol g)'!I14/1000</f>
        <v>1.5463231560190503E-2</v>
      </c>
      <c r="J14" s="18">
        <f>'[4]SkM - GC Results (nmol g)'!J14/1000</f>
        <v>1.6117191434546534E-2</v>
      </c>
      <c r="K14" s="18">
        <f>'[4]SkM - GC Results (nmol g)'!K14/1000</f>
        <v>1.7904205130251753E-2</v>
      </c>
      <c r="L14" s="18">
        <f>'[4]SkM - GC Results (nmol g)'!L14/1000</f>
        <v>3.6139216581277299E-2</v>
      </c>
      <c r="M14" s="18"/>
      <c r="N14" s="18">
        <f>'[4]SkM - GC Results (nmol g)'!N14/1000</f>
        <v>2.7010363370881078E-2</v>
      </c>
      <c r="O14" s="18">
        <f>'[4]SkM - GC Results (nmol g)'!O14/1000</f>
        <v>3.205434128853845E-2</v>
      </c>
      <c r="P14" s="18"/>
      <c r="Q14" s="18"/>
      <c r="R14" s="18">
        <f>'[4]SkM - GC Results (nmol g)'!R14/1000</f>
        <v>1.5637258540873535E-2</v>
      </c>
      <c r="S14" s="18">
        <f>'[4]SkM - GC Results (nmol g)'!S14/1000</f>
        <v>1.2005872613360861E-2</v>
      </c>
      <c r="T14" s="18">
        <f>'[4]SkM - GC Results (nmol g)'!T14/1000</f>
        <v>1.2489124740608374E-2</v>
      </c>
      <c r="U14" s="18">
        <f>'[4]SkM - GC Results (nmol g)'!U14/1000</f>
        <v>1.0673386936474785E-2</v>
      </c>
      <c r="V14" s="18">
        <f>'[4]SkM - GC Results (nmol g)'!V14/1000</f>
        <v>1.7226916074658958E-2</v>
      </c>
      <c r="W14" s="18">
        <f>'[4]SkM - GC Results (nmol g)'!W14/1000</f>
        <v>7.5872023208433774E-3</v>
      </c>
      <c r="X14" s="18"/>
      <c r="Y14" s="18">
        <f>'[4]SkM - GC Results (nmol g)'!Y14/1000</f>
        <v>2.4141504242658929E-2</v>
      </c>
      <c r="Z14" s="18">
        <f>'[4]SkM - GC Results (nmol g)'!Z14/1000</f>
        <v>3.118304366933267E-2</v>
      </c>
      <c r="AA14" s="18">
        <f>'[4]SkM - GC Results (nmol g)'!AA14/1000</f>
        <v>4.8253393067788253E-2</v>
      </c>
      <c r="AB14" s="18">
        <f>'[4]SkM - GC Results (nmol g)'!AB14/1000</f>
        <v>3.2650092057520237E-2</v>
      </c>
      <c r="AC14" s="18">
        <f>'[4]SkM - GC Results (nmol g)'!AC14/1000</f>
        <v>3.8186830626146126E-2</v>
      </c>
      <c r="AD14" s="18">
        <f>'[4]SkM - GC Results (nmol g)'!AD14/1000</f>
        <v>4.6386448510470829E-2</v>
      </c>
      <c r="AE14" s="18">
        <f>'[4]SkM - GC Results (nmol g)'!AE14/1000</f>
        <v>2.5417358088971664E-2</v>
      </c>
      <c r="AF14" s="18">
        <f>'[4]SkM - GC Results (nmol g)'!AF14/1000</f>
        <v>1.3445766126619135E-2</v>
      </c>
      <c r="AG14" s="18">
        <f>'[4]SkM - GC Results (nmol g)'!AG14/1000</f>
        <v>1.3072884857089014E-2</v>
      </c>
      <c r="AH14" s="18">
        <f>'[4]SkM - GC Results (nmol g)'!AH14/1000</f>
        <v>1.2139098252916793E-2</v>
      </c>
    </row>
    <row r="15" spans="1:34" x14ac:dyDescent="0.2">
      <c r="A15" t="s">
        <v>44</v>
      </c>
      <c r="C15" s="18">
        <f>'[4]SkM - GC Results (nmol g)'!C15/1000</f>
        <v>2.1049455963395962E-2</v>
      </c>
      <c r="D15" s="18">
        <f>'[4]SkM - GC Results (nmol g)'!D15/1000</f>
        <v>1.8699457516246357E-2</v>
      </c>
      <c r="E15" s="18">
        <f>'[4]SkM - GC Results (nmol g)'!E15/1000</f>
        <v>1.9394973649468111E-2</v>
      </c>
      <c r="F15" s="18">
        <f>'[4]SkM - GC Results (nmol g)'!F15/1000</f>
        <v>3.1870703777255517E-2</v>
      </c>
      <c r="G15" s="18">
        <f>'[4]SkM - GC Results (nmol g)'!G15/1000</f>
        <v>2.7286245328765009E-2</v>
      </c>
      <c r="H15" s="18">
        <f>'[4]SkM - GC Results (nmol g)'!H15/1000</f>
        <v>2.6299211874470471E-2</v>
      </c>
      <c r="I15" s="18">
        <f>'[4]SkM - GC Results (nmol g)'!I15/1000</f>
        <v>2.9561056801123184E-2</v>
      </c>
      <c r="J15" s="18">
        <f>'[4]SkM - GC Results (nmol g)'!J15/1000</f>
        <v>2.663902410699753E-2</v>
      </c>
      <c r="K15" s="18">
        <f>'[4]SkM - GC Results (nmol g)'!K15/1000</f>
        <v>2.7120611963573602E-2</v>
      </c>
      <c r="L15" s="18">
        <f>'[4]SkM - GC Results (nmol g)'!L15/1000</f>
        <v>2.9699794247041802E-2</v>
      </c>
      <c r="M15" s="18"/>
      <c r="N15" s="18">
        <f>'[4]SkM - GC Results (nmol g)'!N15/1000</f>
        <v>2.9789603388405399E-2</v>
      </c>
      <c r="O15" s="18">
        <f>'[4]SkM - GC Results (nmol g)'!O15/1000</f>
        <v>3.065996334005907E-2</v>
      </c>
      <c r="P15" s="18"/>
      <c r="Q15" s="18"/>
      <c r="R15" s="18">
        <f>'[4]SkM - GC Results (nmol g)'!R15/1000</f>
        <v>2.1620550015668347E-2</v>
      </c>
      <c r="S15" s="18">
        <f>'[4]SkM - GC Results (nmol g)'!S15/1000</f>
        <v>2.6845184276413778E-2</v>
      </c>
      <c r="T15" s="18">
        <f>'[4]SkM - GC Results (nmol g)'!T15/1000</f>
        <v>2.75698164310949E-2</v>
      </c>
      <c r="U15" s="18">
        <f>'[4]SkM - GC Results (nmol g)'!U15/1000</f>
        <v>2.2322861327425413E-2</v>
      </c>
      <c r="V15" s="18">
        <f>'[4]SkM - GC Results (nmol g)'!V15/1000</f>
        <v>2.6576477487691423E-2</v>
      </c>
      <c r="W15" s="18">
        <f>'[4]SkM - GC Results (nmol g)'!W15/1000</f>
        <v>2.3873196223982849E-2</v>
      </c>
      <c r="X15" s="18"/>
      <c r="Y15" s="18">
        <f>'[4]SkM - GC Results (nmol g)'!Y15/1000</f>
        <v>1.8527599406775327E-2</v>
      </c>
      <c r="Z15" s="18">
        <f>'[4]SkM - GC Results (nmol g)'!Z15/1000</f>
        <v>2.6301605806010687E-2</v>
      </c>
      <c r="AA15" s="18">
        <f>'[4]SkM - GC Results (nmol g)'!AA15/1000</f>
        <v>1.6998229783367166E-2</v>
      </c>
      <c r="AB15" s="18">
        <f>'[4]SkM - GC Results (nmol g)'!AB15/1000</f>
        <v>2.3516351415095522E-2</v>
      </c>
      <c r="AC15" s="18">
        <f>'[4]SkM - GC Results (nmol g)'!AC15/1000</f>
        <v>2.9693823887307604E-2</v>
      </c>
      <c r="AD15" s="18">
        <f>'[4]SkM - GC Results (nmol g)'!AD15/1000</f>
        <v>2.1945982106984355E-2</v>
      </c>
      <c r="AE15" s="18">
        <f>'[4]SkM - GC Results (nmol g)'!AE15/1000</f>
        <v>3.6542102498414372E-2</v>
      </c>
      <c r="AF15" s="18">
        <f>'[4]SkM - GC Results (nmol g)'!AF15/1000</f>
        <v>1.9364293625900482E-2</v>
      </c>
      <c r="AG15" s="18">
        <f>'[4]SkM - GC Results (nmol g)'!AG15/1000</f>
        <v>1.4330077753537855E-2</v>
      </c>
      <c r="AH15" s="18">
        <f>'[4]SkM - GC Results (nmol g)'!AH15/1000</f>
        <v>2.4782392872974273E-2</v>
      </c>
    </row>
    <row r="16" spans="1:34" x14ac:dyDescent="0.2">
      <c r="A16" t="s">
        <v>45</v>
      </c>
      <c r="C16" s="18">
        <f>'[4]SkM - GC Results (nmol g)'!C16/1000</f>
        <v>0</v>
      </c>
      <c r="D16" s="18">
        <f>'[4]SkM - GC Results (nmol g)'!D16/1000</f>
        <v>0</v>
      </c>
      <c r="E16" s="18">
        <f>'[4]SkM - GC Results (nmol g)'!E16/1000</f>
        <v>0</v>
      </c>
      <c r="F16" s="18">
        <f>'[4]SkM - GC Results (nmol g)'!F16/1000</f>
        <v>0</v>
      </c>
      <c r="G16" s="18">
        <f>'[4]SkM - GC Results (nmol g)'!G16/1000</f>
        <v>0</v>
      </c>
      <c r="H16" s="18">
        <f>'[4]SkM - GC Results (nmol g)'!H16/1000</f>
        <v>0</v>
      </c>
      <c r="I16" s="18">
        <f>'[4]SkM - GC Results (nmol g)'!I16/1000</f>
        <v>0</v>
      </c>
      <c r="J16" s="18">
        <f>'[4]SkM - GC Results (nmol g)'!J16/1000</f>
        <v>0</v>
      </c>
      <c r="K16" s="18">
        <f>'[4]SkM - GC Results (nmol g)'!K16/1000</f>
        <v>0</v>
      </c>
      <c r="L16" s="18">
        <f>'[4]SkM - GC Results (nmol g)'!L16/1000</f>
        <v>0</v>
      </c>
      <c r="M16" s="18"/>
      <c r="N16" s="18">
        <f>'[4]SkM - GC Results (nmol g)'!N16/1000</f>
        <v>0</v>
      </c>
      <c r="O16" s="18">
        <f>'[4]SkM - GC Results (nmol g)'!O16/1000</f>
        <v>0</v>
      </c>
      <c r="P16" s="18"/>
      <c r="Q16" s="18"/>
      <c r="R16" s="18">
        <f>'[4]SkM - GC Results (nmol g)'!R16/1000</f>
        <v>0</v>
      </c>
      <c r="S16" s="18">
        <f>'[4]SkM - GC Results (nmol g)'!S16/1000</f>
        <v>0</v>
      </c>
      <c r="T16" s="18">
        <f>'[4]SkM - GC Results (nmol g)'!T16/1000</f>
        <v>0</v>
      </c>
      <c r="U16" s="18">
        <f>'[4]SkM - GC Results (nmol g)'!U16/1000</f>
        <v>0</v>
      </c>
      <c r="V16" s="18">
        <f>'[4]SkM - GC Results (nmol g)'!V16/1000</f>
        <v>0</v>
      </c>
      <c r="W16" s="18">
        <f>'[4]SkM - GC Results (nmol g)'!W16/1000</f>
        <v>0</v>
      </c>
      <c r="X16" s="18"/>
      <c r="Y16" s="18">
        <f>'[4]SkM - GC Results (nmol g)'!Y16/1000</f>
        <v>0</v>
      </c>
      <c r="Z16" s="18">
        <f>'[4]SkM - GC Results (nmol g)'!Z16/1000</f>
        <v>0</v>
      </c>
      <c r="AA16" s="18">
        <f>'[4]SkM - GC Results (nmol g)'!AA16/1000</f>
        <v>0</v>
      </c>
      <c r="AB16" s="18">
        <f>'[4]SkM - GC Results (nmol g)'!AB16/1000</f>
        <v>0</v>
      </c>
      <c r="AC16" s="18">
        <f>'[4]SkM - GC Results (nmol g)'!AC16/1000</f>
        <v>0</v>
      </c>
      <c r="AD16" s="18">
        <f>'[4]SkM - GC Results (nmol g)'!AD16/1000</f>
        <v>0</v>
      </c>
      <c r="AE16" s="18">
        <f>'[4]SkM - GC Results (nmol g)'!AE16/1000</f>
        <v>0</v>
      </c>
      <c r="AF16" s="18">
        <f>'[4]SkM - GC Results (nmol g)'!AF16/1000</f>
        <v>0</v>
      </c>
      <c r="AG16" s="18">
        <f>'[4]SkM - GC Results (nmol g)'!AG16/1000</f>
        <v>0</v>
      </c>
      <c r="AH16" s="18">
        <f>'[4]SkM - GC Results (nmol g)'!AH16/1000</f>
        <v>0</v>
      </c>
    </row>
    <row r="17" spans="1:34" x14ac:dyDescent="0.2">
      <c r="A17" t="s">
        <v>46</v>
      </c>
      <c r="C17" s="18">
        <f>'[4]SkM - GC Results (nmol g)'!C17/1000</f>
        <v>3.372590824710528E-2</v>
      </c>
      <c r="D17" s="18">
        <f>'[4]SkM - GC Results (nmol g)'!D17/1000</f>
        <v>2.9509680889463621E-2</v>
      </c>
      <c r="E17" s="18">
        <f>'[4]SkM - GC Results (nmol g)'!E17/1000</f>
        <v>3.6857504498981439E-2</v>
      </c>
      <c r="F17" s="18">
        <f>'[4]SkM - GC Results (nmol g)'!F17/1000</f>
        <v>5.0550379857577925E-2</v>
      </c>
      <c r="G17" s="18">
        <f>'[4]SkM - GC Results (nmol g)'!G17/1000</f>
        <v>4.8481169046915754E-2</v>
      </c>
      <c r="H17" s="18">
        <f>'[4]SkM - GC Results (nmol g)'!H17/1000</f>
        <v>4.2730733744187434E-2</v>
      </c>
      <c r="I17" s="18">
        <f>'[4]SkM - GC Results (nmol g)'!I17/1000</f>
        <v>4.243228992162263E-2</v>
      </c>
      <c r="J17" s="18">
        <f>'[4]SkM - GC Results (nmol g)'!J17/1000</f>
        <v>4.8443911457329687E-2</v>
      </c>
      <c r="K17" s="18">
        <f>'[4]SkM - GC Results (nmol g)'!K17/1000</f>
        <v>4.3171012939427607E-2</v>
      </c>
      <c r="L17" s="18">
        <f>'[4]SkM - GC Results (nmol g)'!L17/1000</f>
        <v>4.6225837875025703E-2</v>
      </c>
      <c r="M17" s="18"/>
      <c r="N17" s="18">
        <f>'[4]SkM - GC Results (nmol g)'!N17/1000</f>
        <v>5.7218633599504423E-2</v>
      </c>
      <c r="O17" s="18">
        <f>'[4]SkM - GC Results (nmol g)'!O17/1000</f>
        <v>4.7211863203437329E-2</v>
      </c>
      <c r="P17" s="18"/>
      <c r="Q17" s="18"/>
      <c r="R17" s="18">
        <f>'[4]SkM - GC Results (nmol g)'!R17/1000</f>
        <v>3.5792884661142693E-2</v>
      </c>
      <c r="S17" s="18">
        <f>'[4]SkM - GC Results (nmol g)'!S17/1000</f>
        <v>3.9524038297892E-2</v>
      </c>
      <c r="T17" s="18">
        <f>'[4]SkM - GC Results (nmol g)'!T17/1000</f>
        <v>3.916996363595053E-2</v>
      </c>
      <c r="U17" s="18">
        <f>'[4]SkM - GC Results (nmol g)'!U17/1000</f>
        <v>3.5094213787884042E-2</v>
      </c>
      <c r="V17" s="18">
        <f>'[4]SkM - GC Results (nmol g)'!V17/1000</f>
        <v>4.5149783251708833E-2</v>
      </c>
      <c r="W17" s="18">
        <f>'[4]SkM - GC Results (nmol g)'!W17/1000</f>
        <v>3.4299387020140744E-2</v>
      </c>
      <c r="X17" s="18"/>
      <c r="Y17" s="18">
        <f>'[4]SkM - GC Results (nmol g)'!Y17/1000</f>
        <v>3.1670452300881571E-2</v>
      </c>
      <c r="Z17" s="18">
        <f>'[4]SkM - GC Results (nmol g)'!Z17/1000</f>
        <v>4.7757995911768943E-2</v>
      </c>
      <c r="AA17" s="18">
        <f>'[4]SkM - GC Results (nmol g)'!AA17/1000</f>
        <v>3.3081884904529311E-2</v>
      </c>
      <c r="AB17" s="18">
        <f>'[4]SkM - GC Results (nmol g)'!AB17/1000</f>
        <v>4.1993330057735805E-2</v>
      </c>
      <c r="AC17" s="18">
        <f>'[4]SkM - GC Results (nmol g)'!AC17/1000</f>
        <v>4.6582652992530629E-2</v>
      </c>
      <c r="AD17" s="18">
        <f>'[4]SkM - GC Results (nmol g)'!AD17/1000</f>
        <v>4.3410387312446355E-2</v>
      </c>
      <c r="AE17" s="18">
        <f>'[4]SkM - GC Results (nmol g)'!AE17/1000</f>
        <v>6.1246132922403072E-2</v>
      </c>
      <c r="AF17" s="18">
        <f>'[4]SkM - GC Results (nmol g)'!AF17/1000</f>
        <v>3.4210840161950799E-2</v>
      </c>
      <c r="AG17" s="18">
        <f>'[4]SkM - GC Results (nmol g)'!AG17/1000</f>
        <v>3.1738297303220364E-2</v>
      </c>
      <c r="AH17" s="18">
        <f>'[4]SkM - GC Results (nmol g)'!AH17/1000</f>
        <v>4.2583617449090658E-2</v>
      </c>
    </row>
    <row r="18" spans="1:34" x14ac:dyDescent="0.2">
      <c r="A18" t="s">
        <v>47</v>
      </c>
      <c r="C18" s="18">
        <f>'[4]SkM - GC Results (nmol g)'!C18/1000</f>
        <v>4.1175731457002401E-2</v>
      </c>
      <c r="D18" s="18">
        <f>'[4]SkM - GC Results (nmol g)'!D18/1000</f>
        <v>3.7506056432317997E-2</v>
      </c>
      <c r="E18" s="18">
        <f>'[4]SkM - GC Results (nmol g)'!E18/1000</f>
        <v>3.509045009767741E-2</v>
      </c>
      <c r="F18" s="18">
        <f>'[4]SkM - GC Results (nmol g)'!F18/1000</f>
        <v>6.4693963756103978E-2</v>
      </c>
      <c r="G18" s="18">
        <f>'[4]SkM - GC Results (nmol g)'!G18/1000</f>
        <v>3.8287560114745434E-2</v>
      </c>
      <c r="H18" s="18">
        <f>'[4]SkM - GC Results (nmol g)'!H18/1000</f>
        <v>4.756703250052307E-2</v>
      </c>
      <c r="I18" s="18">
        <f>'[4]SkM - GC Results (nmol g)'!I18/1000</f>
        <v>2.0267034167148455E-2</v>
      </c>
      <c r="J18" s="18">
        <f>'[4]SkM - GC Results (nmol g)'!J18/1000</f>
        <v>1.872077019100378E-2</v>
      </c>
      <c r="K18" s="18">
        <f>'[4]SkM - GC Results (nmol g)'!K18/1000</f>
        <v>2.5605772080771111E-2</v>
      </c>
      <c r="L18" s="18">
        <f>'[4]SkM - GC Results (nmol g)'!L18/1000</f>
        <v>4.3243604821106472E-2</v>
      </c>
      <c r="M18" s="18"/>
      <c r="N18" s="18">
        <f>'[4]SkM - GC Results (nmol g)'!N18/1000</f>
        <v>3.4336137101800529E-2</v>
      </c>
      <c r="O18" s="18">
        <f>'[4]SkM - GC Results (nmol g)'!O18/1000</f>
        <v>4.7470330932540585E-2</v>
      </c>
      <c r="P18" s="18"/>
      <c r="Q18" s="18"/>
      <c r="R18" s="18">
        <f>'[4]SkM - GC Results (nmol g)'!R18/1000</f>
        <v>2.466916782180657E-2</v>
      </c>
      <c r="S18" s="18">
        <f>'[4]SkM - GC Results (nmol g)'!S18/1000</f>
        <v>1.842915748107208E-2</v>
      </c>
      <c r="T18" s="18">
        <f>'[4]SkM - GC Results (nmol g)'!T18/1000</f>
        <v>1.7514099561438793E-2</v>
      </c>
      <c r="U18" s="18">
        <f>'[4]SkM - GC Results (nmol g)'!U18/1000</f>
        <v>1.5344589795764649E-2</v>
      </c>
      <c r="V18" s="18">
        <f>'[4]SkM - GC Results (nmol g)'!V18/1000</f>
        <v>2.1067158716842085E-2</v>
      </c>
      <c r="W18" s="18">
        <f>'[4]SkM - GC Results (nmol g)'!W18/1000</f>
        <v>1.4459260866107194E-2</v>
      </c>
      <c r="X18" s="18"/>
      <c r="Y18" s="18">
        <f>'[4]SkM - GC Results (nmol g)'!Y18/1000</f>
        <v>2.2856289038229002E-2</v>
      </c>
      <c r="Z18" s="18">
        <f>'[4]SkM - GC Results (nmol g)'!Z18/1000</f>
        <v>3.3154286125634397E-2</v>
      </c>
      <c r="AA18" s="18">
        <f>'[4]SkM - GC Results (nmol g)'!AA18/1000</f>
        <v>5.5673782780286299E-2</v>
      </c>
      <c r="AB18" s="18">
        <f>'[4]SkM - GC Results (nmol g)'!AB18/1000</f>
        <v>4.3805050099401485E-2</v>
      </c>
      <c r="AC18" s="18">
        <f>'[4]SkM - GC Results (nmol g)'!AC18/1000</f>
        <v>4.2768284950681024E-2</v>
      </c>
      <c r="AD18" s="18">
        <f>'[4]SkM - GC Results (nmol g)'!AD18/1000</f>
        <v>5.1107787043212644E-2</v>
      </c>
      <c r="AE18" s="18">
        <f>'[4]SkM - GC Results (nmol g)'!AE18/1000</f>
        <v>3.1020436757357193E-2</v>
      </c>
      <c r="AF18" s="18">
        <f>'[4]SkM - GC Results (nmol g)'!AF18/1000</f>
        <v>1.8994106938181602E-2</v>
      </c>
      <c r="AG18" s="18">
        <f>'[4]SkM - GC Results (nmol g)'!AG18/1000</f>
        <v>1.7460182261139622E-2</v>
      </c>
      <c r="AH18" s="18">
        <f>'[4]SkM - GC Results (nmol g)'!AH18/1000</f>
        <v>1.859572610894223E-2</v>
      </c>
    </row>
    <row r="19" spans="1:34" x14ac:dyDescent="0.2">
      <c r="A19" s="3"/>
      <c r="B19" s="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x14ac:dyDescent="0.2">
      <c r="A20" s="10" t="s">
        <v>48</v>
      </c>
      <c r="B20" s="3"/>
      <c r="C20" s="20">
        <f>SUM(C4:C18)</f>
        <v>0.8465555551945686</v>
      </c>
      <c r="D20" s="20">
        <f t="shared" ref="D20:AH20" si="0">SUM(D4:D18)</f>
        <v>0.62173057066090942</v>
      </c>
      <c r="E20" s="20">
        <f t="shared" si="0"/>
        <v>0.81280050206215793</v>
      </c>
      <c r="F20" s="20">
        <f t="shared" si="0"/>
        <v>0.91397991173388271</v>
      </c>
      <c r="G20" s="20">
        <f t="shared" si="0"/>
        <v>0.77805438036277097</v>
      </c>
      <c r="H20" s="20">
        <f t="shared" si="0"/>
        <v>0.73791903554539628</v>
      </c>
      <c r="I20" s="20">
        <f t="shared" si="0"/>
        <v>0.65359596122875951</v>
      </c>
      <c r="J20" s="20">
        <f t="shared" si="0"/>
        <v>0.6822898151261948</v>
      </c>
      <c r="K20" s="20">
        <f t="shared" si="0"/>
        <v>0.71268037746056079</v>
      </c>
      <c r="L20" s="20">
        <f t="shared" si="0"/>
        <v>0.76371035343840699</v>
      </c>
      <c r="M20" s="20"/>
      <c r="N20" s="20">
        <f t="shared" si="0"/>
        <v>0.76673855925614254</v>
      </c>
      <c r="O20" s="20">
        <f t="shared" si="0"/>
        <v>0.8493540396281114</v>
      </c>
      <c r="P20" s="20"/>
      <c r="Q20" s="20"/>
      <c r="R20" s="20">
        <f t="shared" si="0"/>
        <v>0.55822894807969003</v>
      </c>
      <c r="S20" s="20">
        <f t="shared" si="0"/>
        <v>0.45603482609343959</v>
      </c>
      <c r="T20" s="20">
        <f t="shared" si="0"/>
        <v>0.55744003150927623</v>
      </c>
      <c r="U20" s="20">
        <f t="shared" si="0"/>
        <v>0.43810947187648863</v>
      </c>
      <c r="V20" s="20">
        <f t="shared" si="0"/>
        <v>0.54342747233216537</v>
      </c>
      <c r="W20" s="20">
        <f t="shared" si="0"/>
        <v>0.48495261787092997</v>
      </c>
      <c r="X20" s="20"/>
      <c r="Y20" s="20">
        <f t="shared" si="0"/>
        <v>0.52342064359961127</v>
      </c>
      <c r="Z20" s="20">
        <f t="shared" si="0"/>
        <v>0.6698559872978157</v>
      </c>
      <c r="AA20" s="20">
        <f t="shared" si="0"/>
        <v>0.74910685318985393</v>
      </c>
      <c r="AB20" s="20">
        <f t="shared" si="0"/>
        <v>0.6867522238881506</v>
      </c>
      <c r="AC20" s="20">
        <f t="shared" si="0"/>
        <v>0.75856821811658692</v>
      </c>
      <c r="AD20" s="20">
        <f t="shared" si="0"/>
        <v>0.80659527288530497</v>
      </c>
      <c r="AE20" s="20">
        <f t="shared" si="0"/>
        <v>1.3386388735338941</v>
      </c>
      <c r="AF20" s="20">
        <f t="shared" si="0"/>
        <v>0.58094064329351669</v>
      </c>
      <c r="AG20" s="20">
        <f t="shared" si="0"/>
        <v>0.56333691738125802</v>
      </c>
      <c r="AH20" s="20">
        <f t="shared" si="0"/>
        <v>0.51673446308252791</v>
      </c>
    </row>
    <row r="21" spans="1:34" x14ac:dyDescent="0.2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34" x14ac:dyDescent="0.2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34" x14ac:dyDescent="0.2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ht="16" x14ac:dyDescent="0.2">
      <c r="A24" s="2" t="s">
        <v>49</v>
      </c>
      <c r="B24" s="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34" x14ac:dyDescent="0.2">
      <c r="A25" s="4" t="s">
        <v>2</v>
      </c>
      <c r="C25" s="7" t="s">
        <v>117</v>
      </c>
      <c r="D25" s="7" t="s">
        <v>118</v>
      </c>
      <c r="E25" s="7" t="s">
        <v>119</v>
      </c>
      <c r="F25" s="7" t="s">
        <v>120</v>
      </c>
      <c r="G25" s="7" t="s">
        <v>121</v>
      </c>
      <c r="H25" s="7" t="s">
        <v>122</v>
      </c>
      <c r="I25" s="7" t="s">
        <v>123</v>
      </c>
      <c r="J25" s="7" t="s">
        <v>124</v>
      </c>
      <c r="K25" s="7" t="s">
        <v>125</v>
      </c>
      <c r="L25" s="7" t="s">
        <v>126</v>
      </c>
      <c r="M25" s="7"/>
      <c r="N25" s="7" t="s">
        <v>127</v>
      </c>
      <c r="O25" s="7" t="s">
        <v>128</v>
      </c>
      <c r="P25" s="7" t="s">
        <v>129</v>
      </c>
      <c r="Q25" s="7" t="s">
        <v>130</v>
      </c>
      <c r="R25" s="7" t="s">
        <v>131</v>
      </c>
      <c r="S25" s="7" t="s">
        <v>132</v>
      </c>
      <c r="T25" s="7" t="s">
        <v>133</v>
      </c>
      <c r="U25" s="7" t="s">
        <v>134</v>
      </c>
      <c r="V25" s="7" t="s">
        <v>135</v>
      </c>
      <c r="W25" s="7" t="s">
        <v>136</v>
      </c>
      <c r="X25" s="12"/>
      <c r="Y25" s="7" t="s">
        <v>137</v>
      </c>
      <c r="Z25" s="7" t="s">
        <v>138</v>
      </c>
      <c r="AA25" s="7" t="s">
        <v>139</v>
      </c>
      <c r="AB25" s="7" t="s">
        <v>140</v>
      </c>
      <c r="AC25" s="7" t="s">
        <v>141</v>
      </c>
      <c r="AD25" s="7"/>
      <c r="AE25" s="7"/>
      <c r="AF25" s="7" t="s">
        <v>144</v>
      </c>
      <c r="AG25" s="7" t="s">
        <v>145</v>
      </c>
      <c r="AH25" s="7" t="s">
        <v>146</v>
      </c>
    </row>
    <row r="26" spans="1:34" x14ac:dyDescent="0.2">
      <c r="A26" t="s">
        <v>33</v>
      </c>
      <c r="C26" s="18">
        <f>'[4]SkM - GC Results (nmol g)'!C26/1000</f>
        <v>0.27206527906289485</v>
      </c>
      <c r="D26" s="18">
        <f>'[4]SkM - GC Results (nmol g)'!D26/1000</f>
        <v>7.3133693383602524E-2</v>
      </c>
      <c r="E26" s="18">
        <f>'[4]SkM - GC Results (nmol g)'!E26/1000</f>
        <v>9.4263631008728352E-2</v>
      </c>
      <c r="F26" s="18">
        <f>'[4]SkM - GC Results (nmol g)'!F26/1000</f>
        <v>6.7113967775817407E-2</v>
      </c>
      <c r="G26" s="18">
        <f>'[4]SkM - GC Results (nmol g)'!G26/1000</f>
        <v>6.1414697322253194E-2</v>
      </c>
      <c r="H26" s="18">
        <f>'[4]SkM - GC Results (nmol g)'!H26/1000</f>
        <v>5.70355056833853E-2</v>
      </c>
      <c r="I26" s="18">
        <f>'[4]SkM - GC Results (nmol g)'!I26/1000</f>
        <v>8.1037970966143638E-2</v>
      </c>
      <c r="J26" s="18">
        <f>'[4]SkM - GC Results (nmol g)'!J26/1000</f>
        <v>9.2432776016340881E-2</v>
      </c>
      <c r="K26" s="18">
        <f>'[4]SkM - GC Results (nmol g)'!K26/1000</f>
        <v>6.1279397417985951E-2</v>
      </c>
      <c r="L26" s="18">
        <f>'[4]SkM - GC Results (nmol g)'!L26/1000</f>
        <v>9.2234884381590443E-2</v>
      </c>
      <c r="M26" s="18"/>
      <c r="N26" s="18">
        <f>'[4]SkM - GC Results (nmol g)'!N26/1000</f>
        <v>9.0152384005781891E-2</v>
      </c>
      <c r="O26" s="18">
        <f>'[4]SkM - GC Results (nmol g)'!O26/1000</f>
        <v>5.5724007566269176E-2</v>
      </c>
      <c r="P26" s="18">
        <f>'[4]SkM - GC Results (nmol g)'!P26/1000</f>
        <v>4.303458603207394E-2</v>
      </c>
      <c r="Q26" s="18">
        <f>'[4]SkM - GC Results (nmol g)'!Q26/1000</f>
        <v>6.9969203100888847E-2</v>
      </c>
      <c r="R26" s="18">
        <f>'[4]SkM - GC Results (nmol g)'!R26/1000</f>
        <v>7.0482168608619528E-2</v>
      </c>
      <c r="S26" s="18">
        <f>'[4]SkM - GC Results (nmol g)'!S26/1000</f>
        <v>7.0748872491074588E-2</v>
      </c>
      <c r="T26" s="18">
        <f>'[4]SkM - GC Results (nmol g)'!T26/1000</f>
        <v>9.0054783169605634E-2</v>
      </c>
      <c r="U26" s="18">
        <f>'[4]SkM - GC Results (nmol g)'!U26/1000</f>
        <v>7.6092075064398426E-2</v>
      </c>
      <c r="V26" s="18">
        <f>'[4]SkM - GC Results (nmol g)'!V26/1000</f>
        <v>9.5677837948249328E-2</v>
      </c>
      <c r="W26" s="18">
        <f>'[4]SkM - GC Results (nmol g)'!W26/1000</f>
        <v>7.5427820245867749E-2</v>
      </c>
      <c r="X26" s="18"/>
      <c r="Y26" s="18">
        <f>'[4]SkM - GC Results (nmol g)'!Y26/1000</f>
        <v>5.6945831829547544E-2</v>
      </c>
      <c r="Z26" s="18">
        <f>'[4]SkM - GC Results (nmol g)'!Z26/1000</f>
        <v>6.4614044352942324E-2</v>
      </c>
      <c r="AA26" s="18">
        <f>'[4]SkM - GC Results (nmol g)'!AA26/1000</f>
        <v>6.166645475311637E-2</v>
      </c>
      <c r="AB26" s="18">
        <f>'[4]SkM - GC Results (nmol g)'!AB26/1000</f>
        <v>7.9259403529597275E-2</v>
      </c>
      <c r="AC26" s="18">
        <f>'[4]SkM - GC Results (nmol g)'!AC26/1000</f>
        <v>4.7902360876510494E-2</v>
      </c>
      <c r="AD26" s="18"/>
      <c r="AE26" s="18"/>
      <c r="AF26" s="18">
        <f>'[4]SkM - GC Results (nmol g)'!AF26/1000</f>
        <v>0.14606272083966898</v>
      </c>
      <c r="AG26" s="18">
        <f>'[4]SkM - GC Results (nmol g)'!AG26/1000</f>
        <v>9.6927265748695382E-2</v>
      </c>
      <c r="AH26" s="18">
        <f>'[4]SkM - GC Results (nmol g)'!AH26/1000</f>
        <v>0.10616385577202092</v>
      </c>
    </row>
    <row r="27" spans="1:34" x14ac:dyDescent="0.2">
      <c r="A27" t="s">
        <v>35</v>
      </c>
      <c r="C27" s="18">
        <f>'[4]SkM - GC Results (nmol g)'!C27/1000</f>
        <v>2.4093523427567449</v>
      </c>
      <c r="D27" s="18">
        <f>'[4]SkM - GC Results (nmol g)'!D27/1000</f>
        <v>0.8559891948538304</v>
      </c>
      <c r="E27" s="18">
        <f>'[4]SkM - GC Results (nmol g)'!E27/1000</f>
        <v>0.88706619287950583</v>
      </c>
      <c r="F27" s="18">
        <f>'[4]SkM - GC Results (nmol g)'!F27/1000</f>
        <v>0.69275270970146807</v>
      </c>
      <c r="G27" s="18">
        <f>'[4]SkM - GC Results (nmol g)'!G27/1000</f>
        <v>0.87742582470669017</v>
      </c>
      <c r="H27" s="18">
        <f>'[4]SkM - GC Results (nmol g)'!H27/1000</f>
        <v>0.66564136657067252</v>
      </c>
      <c r="I27" s="18">
        <f>'[4]SkM - GC Results (nmol g)'!I27/1000</f>
        <v>1.1509041296148879</v>
      </c>
      <c r="J27" s="18">
        <f>'[4]SkM - GC Results (nmol g)'!J27/1000</f>
        <v>0.79390203215865152</v>
      </c>
      <c r="K27" s="18">
        <f>'[4]SkM - GC Results (nmol g)'!K27/1000</f>
        <v>0.75449913415219427</v>
      </c>
      <c r="L27" s="18">
        <f>'[4]SkM - GC Results (nmol g)'!L27/1000</f>
        <v>1.0996621949375047</v>
      </c>
      <c r="M27" s="18"/>
      <c r="N27" s="18">
        <f>'[4]SkM - GC Results (nmol g)'!N27/1000</f>
        <v>1.076240167756447</v>
      </c>
      <c r="O27" s="18">
        <f>'[4]SkM - GC Results (nmol g)'!O27/1000</f>
        <v>0.67343593735739082</v>
      </c>
      <c r="P27" s="18">
        <f>'[4]SkM - GC Results (nmol g)'!P27/1000</f>
        <v>0.5928941354863152</v>
      </c>
      <c r="Q27" s="18">
        <f>'[4]SkM - GC Results (nmol g)'!Q27/1000</f>
        <v>0.99532893331100003</v>
      </c>
      <c r="R27" s="18">
        <f>'[4]SkM - GC Results (nmol g)'!R27/1000</f>
        <v>0.82150939223274544</v>
      </c>
      <c r="S27" s="18">
        <f>'[4]SkM - GC Results (nmol g)'!S27/1000</f>
        <v>0.67829075489655299</v>
      </c>
      <c r="T27" s="18">
        <f>'[4]SkM - GC Results (nmol g)'!T27/1000</f>
        <v>1.1837723440815502</v>
      </c>
      <c r="U27" s="18">
        <f>'[4]SkM - GC Results (nmol g)'!U27/1000</f>
        <v>0.9767237656375749</v>
      </c>
      <c r="V27" s="18">
        <f>'[4]SkM - GC Results (nmol g)'!V27/1000</f>
        <v>0.78842309362983909</v>
      </c>
      <c r="W27" s="18">
        <f>'[4]SkM - GC Results (nmol g)'!W27/1000</f>
        <v>0.71090706667512515</v>
      </c>
      <c r="X27" s="18"/>
      <c r="Y27" s="18">
        <f>'[4]SkM - GC Results (nmol g)'!Y27/1000</f>
        <v>0.91209080611546733</v>
      </c>
      <c r="Z27" s="18">
        <f>'[4]SkM - GC Results (nmol g)'!Z27/1000</f>
        <v>0.73458082801028124</v>
      </c>
      <c r="AA27" s="18">
        <f>'[4]SkM - GC Results (nmol g)'!AA27/1000</f>
        <v>0.70507722191692679</v>
      </c>
      <c r="AB27" s="18">
        <f>'[4]SkM - GC Results (nmol g)'!AB27/1000</f>
        <v>0.75409321232946802</v>
      </c>
      <c r="AC27" s="18">
        <f>'[4]SkM - GC Results (nmol g)'!AC27/1000</f>
        <v>0.47446247499348654</v>
      </c>
      <c r="AD27" s="18"/>
      <c r="AE27" s="18"/>
      <c r="AF27" s="18">
        <f>'[4]SkM - GC Results (nmol g)'!AF27/1000</f>
        <v>1.262591579211783</v>
      </c>
      <c r="AG27" s="18">
        <f>'[4]SkM - GC Results (nmol g)'!AG27/1000</f>
        <v>0.90606911028143056</v>
      </c>
      <c r="AH27" s="18">
        <f>'[4]SkM - GC Results (nmol g)'!AH27/1000</f>
        <v>0.9715854085989214</v>
      </c>
    </row>
    <row r="28" spans="1:34" x14ac:dyDescent="0.2">
      <c r="A28" t="s">
        <v>36</v>
      </c>
      <c r="C28" s="18">
        <f>'[4]SkM - GC Results (nmol g)'!C28/1000</f>
        <v>0.11859184095117471</v>
      </c>
      <c r="D28" s="18">
        <f>'[4]SkM - GC Results (nmol g)'!D28/1000</f>
        <v>5.7049370661901147E-2</v>
      </c>
      <c r="E28" s="18">
        <f>'[4]SkM - GC Results (nmol g)'!E28/1000</f>
        <v>7.9089549664317541E-2</v>
      </c>
      <c r="F28" s="18">
        <f>'[4]SkM - GC Results (nmol g)'!F28/1000</f>
        <v>3.9215557492377852E-2</v>
      </c>
      <c r="G28" s="18">
        <f>'[4]SkM - GC Results (nmol g)'!G28/1000</f>
        <v>5.8148897684531478E-2</v>
      </c>
      <c r="H28" s="18">
        <f>'[4]SkM - GC Results (nmol g)'!H28/1000</f>
        <v>7.0660298425332502E-2</v>
      </c>
      <c r="I28" s="18">
        <f>'[4]SkM - GC Results (nmol g)'!I28/1000</f>
        <v>0.13335082876512785</v>
      </c>
      <c r="J28" s="18">
        <f>'[4]SkM - GC Results (nmol g)'!J28/1000</f>
        <v>8.025453864248544E-2</v>
      </c>
      <c r="K28" s="18">
        <f>'[4]SkM - GC Results (nmol g)'!K28/1000</f>
        <v>4.6370380461447626E-2</v>
      </c>
      <c r="L28" s="18">
        <f>'[4]SkM - GC Results (nmol g)'!L28/1000</f>
        <v>0.12522315952607613</v>
      </c>
      <c r="M28" s="18"/>
      <c r="N28" s="18">
        <f>'[4]SkM - GC Results (nmol g)'!N28/1000</f>
        <v>6.8161070017886766E-2</v>
      </c>
      <c r="O28" s="18">
        <f>'[4]SkM - GC Results (nmol g)'!O28/1000</f>
        <v>2.3038982926501621E-2</v>
      </c>
      <c r="P28" s="18">
        <f>'[4]SkM - GC Results (nmol g)'!P28/1000</f>
        <v>1.9331290709998738E-2</v>
      </c>
      <c r="Q28" s="18">
        <f>'[4]SkM - GC Results (nmol g)'!Q28/1000</f>
        <v>0.10579934574396192</v>
      </c>
      <c r="R28" s="18">
        <f>'[4]SkM - GC Results (nmol g)'!R28/1000</f>
        <v>7.8037493144064954E-2</v>
      </c>
      <c r="S28" s="18">
        <f>'[4]SkM - GC Results (nmol g)'!S28/1000</f>
        <v>6.2825386076444889E-2</v>
      </c>
      <c r="T28" s="18">
        <f>'[4]SkM - GC Results (nmol g)'!T28/1000</f>
        <v>0.10448776361106786</v>
      </c>
      <c r="U28" s="18">
        <f>'[4]SkM - GC Results (nmol g)'!U28/1000</f>
        <v>7.636049877663334E-2</v>
      </c>
      <c r="V28" s="18">
        <f>'[4]SkM - GC Results (nmol g)'!V28/1000</f>
        <v>7.2677698945817396E-2</v>
      </c>
      <c r="W28" s="18">
        <f>'[4]SkM - GC Results (nmol g)'!W28/1000</f>
        <v>4.6430516392014773E-2</v>
      </c>
      <c r="X28" s="18"/>
      <c r="Y28" s="18">
        <f>'[4]SkM - GC Results (nmol g)'!Y28/1000</f>
        <v>0.10485006099512724</v>
      </c>
      <c r="Z28" s="18">
        <f>'[4]SkM - GC Results (nmol g)'!Z28/1000</f>
        <v>9.1786987286360255E-2</v>
      </c>
      <c r="AA28" s="18">
        <f>'[4]SkM - GC Results (nmol g)'!AA28/1000</f>
        <v>0.10746568795014461</v>
      </c>
      <c r="AB28" s="18">
        <f>'[4]SkM - GC Results (nmol g)'!AB28/1000</f>
        <v>5.1188888021778726E-2</v>
      </c>
      <c r="AC28" s="18">
        <f>'[4]SkM - GC Results (nmol g)'!AC28/1000</f>
        <v>6.1611227569126063E-2</v>
      </c>
      <c r="AD28" s="18"/>
      <c r="AE28" s="18"/>
      <c r="AF28" s="18">
        <f>'[4]SkM - GC Results (nmol g)'!AF28/1000</f>
        <v>0.11608948963663432</v>
      </c>
      <c r="AG28" s="18">
        <f>'[4]SkM - GC Results (nmol g)'!AG28/1000</f>
        <v>8.8423685447495154E-2</v>
      </c>
      <c r="AH28" s="18">
        <f>'[4]SkM - GC Results (nmol g)'!AH28/1000</f>
        <v>6.565179161858746E-2</v>
      </c>
    </row>
    <row r="29" spans="1:34" x14ac:dyDescent="0.2">
      <c r="A29" t="s">
        <v>50</v>
      </c>
      <c r="C29" s="18">
        <f>'[4]SkM - GC Results (nmol g)'!C29/1000</f>
        <v>0</v>
      </c>
      <c r="D29" s="18">
        <f>'[4]SkM - GC Results (nmol g)'!D29/1000</f>
        <v>0</v>
      </c>
      <c r="E29" s="18">
        <f>'[4]SkM - GC Results (nmol g)'!E29/1000</f>
        <v>0</v>
      </c>
      <c r="F29" s="18">
        <f>'[4]SkM - GC Results (nmol g)'!F29/1000</f>
        <v>0</v>
      </c>
      <c r="G29" s="18">
        <f>'[4]SkM - GC Results (nmol g)'!G29/1000</f>
        <v>0</v>
      </c>
      <c r="H29" s="18">
        <f>'[4]SkM - GC Results (nmol g)'!H29/1000</f>
        <v>0</v>
      </c>
      <c r="I29" s="18">
        <f>'[4]SkM - GC Results (nmol g)'!I29/1000</f>
        <v>0</v>
      </c>
      <c r="J29" s="18">
        <f>'[4]SkM - GC Results (nmol g)'!J29/1000</f>
        <v>0</v>
      </c>
      <c r="K29" s="18">
        <f>'[4]SkM - GC Results (nmol g)'!K29/1000</f>
        <v>0</v>
      </c>
      <c r="L29" s="18">
        <f>'[4]SkM - GC Results (nmol g)'!L29/1000</f>
        <v>0</v>
      </c>
      <c r="M29" s="18"/>
      <c r="N29" s="18">
        <f>'[4]SkM - GC Results (nmol g)'!N29/1000</f>
        <v>0</v>
      </c>
      <c r="O29" s="18">
        <f>'[4]SkM - GC Results (nmol g)'!O29/1000</f>
        <v>0</v>
      </c>
      <c r="P29" s="18">
        <f>'[4]SkM - GC Results (nmol g)'!P29/1000</f>
        <v>0</v>
      </c>
      <c r="Q29" s="18">
        <f>'[4]SkM - GC Results (nmol g)'!Q29/1000</f>
        <v>0</v>
      </c>
      <c r="R29" s="18">
        <f>'[4]SkM - GC Results (nmol g)'!R29/1000</f>
        <v>0</v>
      </c>
      <c r="S29" s="18">
        <f>'[4]SkM - GC Results (nmol g)'!S29/1000</f>
        <v>0</v>
      </c>
      <c r="T29" s="18">
        <f>'[4]SkM - GC Results (nmol g)'!T29/1000</f>
        <v>0</v>
      </c>
      <c r="U29" s="18">
        <f>'[4]SkM - GC Results (nmol g)'!U29/1000</f>
        <v>0</v>
      </c>
      <c r="V29" s="18">
        <f>'[4]SkM - GC Results (nmol g)'!V29/1000</f>
        <v>0</v>
      </c>
      <c r="W29" s="18">
        <f>'[4]SkM - GC Results (nmol g)'!W29/1000</f>
        <v>0</v>
      </c>
      <c r="X29" s="18"/>
      <c r="Y29" s="18">
        <f>'[4]SkM - GC Results (nmol g)'!Y29/1000</f>
        <v>0</v>
      </c>
      <c r="Z29" s="18">
        <f>'[4]SkM - GC Results (nmol g)'!Z29/1000</f>
        <v>0</v>
      </c>
      <c r="AA29" s="18">
        <f>'[4]SkM - GC Results (nmol g)'!AA29/1000</f>
        <v>0</v>
      </c>
      <c r="AB29" s="18">
        <f>'[4]SkM - GC Results (nmol g)'!AB29/1000</f>
        <v>0</v>
      </c>
      <c r="AC29" s="18">
        <f>'[4]SkM - GC Results (nmol g)'!AC29/1000</f>
        <v>0</v>
      </c>
      <c r="AD29" s="18"/>
      <c r="AE29" s="18"/>
      <c r="AF29" s="18">
        <f>'[4]SkM - GC Results (nmol g)'!AF29/1000</f>
        <v>0</v>
      </c>
      <c r="AG29" s="18">
        <f>'[4]SkM - GC Results (nmol g)'!AG29/1000</f>
        <v>0</v>
      </c>
      <c r="AH29" s="18">
        <f>'[4]SkM - GC Results (nmol g)'!AH29/1000</f>
        <v>0</v>
      </c>
    </row>
    <row r="30" spans="1:34" x14ac:dyDescent="0.2">
      <c r="A30" t="s">
        <v>37</v>
      </c>
      <c r="C30" s="18">
        <f>'[4]SkM - GC Results (nmol g)'!C30/1000</f>
        <v>1.0204787032978722</v>
      </c>
      <c r="D30" s="18">
        <f>'[4]SkM - GC Results (nmol g)'!D30/1000</f>
        <v>0.27445480699761299</v>
      </c>
      <c r="E30" s="18">
        <f>'[4]SkM - GC Results (nmol g)'!E30/1000</f>
        <v>0.24028696767107655</v>
      </c>
      <c r="F30" s="18">
        <f>'[4]SkM - GC Results (nmol g)'!F30/1000</f>
        <v>0.26705187167823097</v>
      </c>
      <c r="G30" s="18">
        <f>'[4]SkM - GC Results (nmol g)'!G30/1000</f>
        <v>0.28961202916627993</v>
      </c>
      <c r="H30" s="18">
        <f>'[4]SkM - GC Results (nmol g)'!H30/1000</f>
        <v>0.19886654419880667</v>
      </c>
      <c r="I30" s="18">
        <f>'[4]SkM - GC Results (nmol g)'!I30/1000</f>
        <v>0.31545184906840534</v>
      </c>
      <c r="J30" s="18">
        <f>'[4]SkM - GC Results (nmol g)'!J30/1000</f>
        <v>0.26794984936428928</v>
      </c>
      <c r="K30" s="18">
        <f>'[4]SkM - GC Results (nmol g)'!K30/1000</f>
        <v>0.25638136718529736</v>
      </c>
      <c r="L30" s="18">
        <f>'[4]SkM - GC Results (nmol g)'!L30/1000</f>
        <v>0.32263343102939429</v>
      </c>
      <c r="M30" s="18"/>
      <c r="N30" s="18">
        <f>'[4]SkM - GC Results (nmol g)'!N30/1000</f>
        <v>0.41943452672709858</v>
      </c>
      <c r="O30" s="18">
        <f>'[4]SkM - GC Results (nmol g)'!O30/1000</f>
        <v>0.2561586189782119</v>
      </c>
      <c r="P30" s="18">
        <f>'[4]SkM - GC Results (nmol g)'!P30/1000</f>
        <v>0.2030018926263657</v>
      </c>
      <c r="Q30" s="18">
        <f>'[4]SkM - GC Results (nmol g)'!Q30/1000</f>
        <v>0.45543199736478457</v>
      </c>
      <c r="R30" s="18">
        <f>'[4]SkM - GC Results (nmol g)'!R30/1000</f>
        <v>0.31204891475905949</v>
      </c>
      <c r="S30" s="18">
        <f>'[4]SkM - GC Results (nmol g)'!S30/1000</f>
        <v>0.23414609054376917</v>
      </c>
      <c r="T30" s="18">
        <f>'[4]SkM - GC Results (nmol g)'!T30/1000</f>
        <v>0.32307254245799083</v>
      </c>
      <c r="U30" s="18">
        <f>'[4]SkM - GC Results (nmol g)'!U30/1000</f>
        <v>0.2783844366789574</v>
      </c>
      <c r="V30" s="18">
        <f>'[4]SkM - GC Results (nmol g)'!V30/1000</f>
        <v>0.28017992410021508</v>
      </c>
      <c r="W30" s="18">
        <f>'[4]SkM - GC Results (nmol g)'!W30/1000</f>
        <v>0.22867434430481923</v>
      </c>
      <c r="X30" s="18"/>
      <c r="Y30" s="18">
        <f>'[4]SkM - GC Results (nmol g)'!Y30/1000</f>
        <v>0.23759545465117179</v>
      </c>
      <c r="Z30" s="18">
        <f>'[4]SkM - GC Results (nmol g)'!Z30/1000</f>
        <v>0.25079278434057861</v>
      </c>
      <c r="AA30" s="18">
        <f>'[4]SkM - GC Results (nmol g)'!AA30/1000</f>
        <v>0.2270032276405852</v>
      </c>
      <c r="AB30" s="18">
        <f>'[4]SkM - GC Results (nmol g)'!AB30/1000</f>
        <v>0.25650566582392542</v>
      </c>
      <c r="AC30" s="18">
        <f>'[4]SkM - GC Results (nmol g)'!AC30/1000</f>
        <v>0.17626394350944127</v>
      </c>
      <c r="AD30" s="18"/>
      <c r="AE30" s="18"/>
      <c r="AF30" s="18">
        <f>'[4]SkM - GC Results (nmol g)'!AF30/1000</f>
        <v>0.38356384273007205</v>
      </c>
      <c r="AG30" s="18">
        <f>'[4]SkM - GC Results (nmol g)'!AG30/1000</f>
        <v>0.26973061939307719</v>
      </c>
      <c r="AH30" s="18">
        <f>'[4]SkM - GC Results (nmol g)'!AH30/1000</f>
        <v>0.33176565671192454</v>
      </c>
    </row>
    <row r="31" spans="1:34" x14ac:dyDescent="0.2">
      <c r="A31" t="s">
        <v>38</v>
      </c>
      <c r="C31" s="18">
        <f>'[4]SkM - GC Results (nmol g)'!C31/1000</f>
        <v>0.71077444379311105</v>
      </c>
      <c r="D31" s="18">
        <f>'[4]SkM - GC Results (nmol g)'!D31/1000</f>
        <v>0.33294561989827759</v>
      </c>
      <c r="E31" s="18">
        <f>'[4]SkM - GC Results (nmol g)'!E31/1000</f>
        <v>0.35585595240025619</v>
      </c>
      <c r="F31" s="18">
        <f>'[4]SkM - GC Results (nmol g)'!F31/1000</f>
        <v>0.26663336039132907</v>
      </c>
      <c r="G31" s="18">
        <f>'[4]SkM - GC Results (nmol g)'!G31/1000</f>
        <v>0.35449319693952264</v>
      </c>
      <c r="H31" s="18">
        <f>'[4]SkM - GC Results (nmol g)'!H31/1000</f>
        <v>0.3567325616570155</v>
      </c>
      <c r="I31" s="18">
        <f>'[4]SkM - GC Results (nmol g)'!I31/1000</f>
        <v>0.77939742331478079</v>
      </c>
      <c r="J31" s="18">
        <f>'[4]SkM - GC Results (nmol g)'!J31/1000</f>
        <v>0.3286581023640387</v>
      </c>
      <c r="K31" s="18">
        <f>'[4]SkM - GC Results (nmol g)'!K31/1000</f>
        <v>0.24885046049662321</v>
      </c>
      <c r="L31" s="18">
        <f>'[4]SkM - GC Results (nmol g)'!L31/1000</f>
        <v>0.71584374745194057</v>
      </c>
      <c r="M31" s="18"/>
      <c r="N31" s="18">
        <f>'[4]SkM - GC Results (nmol g)'!N31/1000</f>
        <v>0.36098538843090455</v>
      </c>
      <c r="O31" s="18">
        <f>'[4]SkM - GC Results (nmol g)'!O31/1000</f>
        <v>0.14391607443688204</v>
      </c>
      <c r="P31" s="18">
        <f>'[4]SkM - GC Results (nmol g)'!P31/1000</f>
        <v>0.12522015831134872</v>
      </c>
      <c r="Q31" s="18">
        <f>'[4]SkM - GC Results (nmol g)'!Q31/1000</f>
        <v>0.68403460111101588</v>
      </c>
      <c r="R31" s="18">
        <f>'[4]SkM - GC Results (nmol g)'!R31/1000</f>
        <v>0.39383710823297274</v>
      </c>
      <c r="S31" s="18">
        <f>'[4]SkM - GC Results (nmol g)'!S31/1000</f>
        <v>0.39220214547748566</v>
      </c>
      <c r="T31" s="18">
        <f>'[4]SkM - GC Results (nmol g)'!T31/1000</f>
        <v>0.56004601312996027</v>
      </c>
      <c r="U31" s="18">
        <f>'[4]SkM - GC Results (nmol g)'!U31/1000</f>
        <v>0.49069247001842337</v>
      </c>
      <c r="V31" s="18">
        <f>'[4]SkM - GC Results (nmol g)'!V31/1000</f>
        <v>0.48918501881455062</v>
      </c>
      <c r="W31" s="18">
        <f>'[4]SkM - GC Results (nmol g)'!W31/1000</f>
        <v>0.29659961833569348</v>
      </c>
      <c r="X31" s="18"/>
      <c r="Y31" s="18">
        <f>'[4]SkM - GC Results (nmol g)'!Y31/1000</f>
        <v>0.47587538366098991</v>
      </c>
      <c r="Z31" s="18">
        <f>'[4]SkM - GC Results (nmol g)'!Z31/1000</f>
        <v>0.42046542220345506</v>
      </c>
      <c r="AA31" s="18">
        <f>'[4]SkM - GC Results (nmol g)'!AA31/1000</f>
        <v>0.485232416690698</v>
      </c>
      <c r="AB31" s="18">
        <f>'[4]SkM - GC Results (nmol g)'!AB31/1000</f>
        <v>0.30905615342412224</v>
      </c>
      <c r="AC31" s="18">
        <f>'[4]SkM - GC Results (nmol g)'!AC31/1000</f>
        <v>0.23604925825901474</v>
      </c>
      <c r="AD31" s="18"/>
      <c r="AE31" s="18"/>
      <c r="AF31" s="18">
        <f>'[4]SkM - GC Results (nmol g)'!AF31/1000</f>
        <v>0.49609385430406955</v>
      </c>
      <c r="AG31" s="18">
        <f>'[4]SkM - GC Results (nmol g)'!AG31/1000</f>
        <v>0.3583021109252239</v>
      </c>
      <c r="AH31" s="18">
        <f>'[4]SkM - GC Results (nmol g)'!AH31/1000</f>
        <v>0.37286493146459171</v>
      </c>
    </row>
    <row r="32" spans="1:34" x14ac:dyDescent="0.2">
      <c r="A32" t="s">
        <v>39</v>
      </c>
      <c r="C32" s="18">
        <f>'[4]SkM - GC Results (nmol g)'!C32/1000</f>
        <v>0.32949839075234694</v>
      </c>
      <c r="D32" s="18">
        <f>'[4]SkM - GC Results (nmol g)'!D32/1000</f>
        <v>0.16537522123202761</v>
      </c>
      <c r="E32" s="18">
        <f>'[4]SkM - GC Results (nmol g)'!E32/1000</f>
        <v>0.18068935717906309</v>
      </c>
      <c r="F32" s="18">
        <f>'[4]SkM - GC Results (nmol g)'!F32/1000</f>
        <v>0.13493838958309501</v>
      </c>
      <c r="G32" s="18">
        <f>'[4]SkM - GC Results (nmol g)'!G32/1000</f>
        <v>0.16271230779581278</v>
      </c>
      <c r="H32" s="18">
        <f>'[4]SkM - GC Results (nmol g)'!H32/1000</f>
        <v>0.18135878813231779</v>
      </c>
      <c r="I32" s="18">
        <f>'[4]SkM - GC Results (nmol g)'!I32/1000</f>
        <v>0.3781475829872134</v>
      </c>
      <c r="J32" s="18">
        <f>'[4]SkM - GC Results (nmol g)'!J32/1000</f>
        <v>0.16304694351688745</v>
      </c>
      <c r="K32" s="18">
        <f>'[4]SkM - GC Results (nmol g)'!K32/1000</f>
        <v>0.10186411489286898</v>
      </c>
      <c r="L32" s="18">
        <f>'[4]SkM - GC Results (nmol g)'!L32/1000</f>
        <v>0.35998681011089795</v>
      </c>
      <c r="M32" s="18"/>
      <c r="N32" s="18">
        <f>'[4]SkM - GC Results (nmol g)'!N32/1000</f>
        <v>0.15778331036075946</v>
      </c>
      <c r="O32" s="18">
        <f>'[4]SkM - GC Results (nmol g)'!O32/1000</f>
        <v>6.4874133170947118E-2</v>
      </c>
      <c r="P32" s="18">
        <f>'[4]SkM - GC Results (nmol g)'!P32/1000</f>
        <v>6.2100373859440533E-2</v>
      </c>
      <c r="Q32" s="18">
        <f>'[4]SkM - GC Results (nmol g)'!Q32/1000</f>
        <v>0.3105205041776305</v>
      </c>
      <c r="R32" s="18">
        <f>'[4]SkM - GC Results (nmol g)'!R32/1000</f>
        <v>0.19814698484915241</v>
      </c>
      <c r="S32" s="18">
        <f>'[4]SkM - GC Results (nmol g)'!S32/1000</f>
        <v>0.21047154129856249</v>
      </c>
      <c r="T32" s="18">
        <f>'[4]SkM - GC Results (nmol g)'!T32/1000</f>
        <v>0.28471003899257247</v>
      </c>
      <c r="U32" s="18">
        <f>'[4]SkM - GC Results (nmol g)'!U32/1000</f>
        <v>0.24306876701887603</v>
      </c>
      <c r="V32" s="18">
        <f>'[4]SkM - GC Results (nmol g)'!V32/1000</f>
        <v>0.26434254365284227</v>
      </c>
      <c r="W32" s="18">
        <f>'[4]SkM - GC Results (nmol g)'!W32/1000</f>
        <v>0.161981307627864</v>
      </c>
      <c r="X32" s="18"/>
      <c r="Y32" s="18">
        <f>'[4]SkM - GC Results (nmol g)'!Y32/1000</f>
        <v>0.22455938271257117</v>
      </c>
      <c r="Z32" s="18">
        <f>'[4]SkM - GC Results (nmol g)'!Z32/1000</f>
        <v>0.19638099337236434</v>
      </c>
      <c r="AA32" s="18">
        <f>'[4]SkM - GC Results (nmol g)'!AA32/1000</f>
        <v>0.24910413771292481</v>
      </c>
      <c r="AB32" s="18">
        <f>'[4]SkM - GC Results (nmol g)'!AB32/1000</f>
        <v>0.15958030599091083</v>
      </c>
      <c r="AC32" s="18">
        <f>'[4]SkM - GC Results (nmol g)'!AC32/1000</f>
        <v>0.1148867314082275</v>
      </c>
      <c r="AD32" s="18"/>
      <c r="AE32" s="18"/>
      <c r="AF32" s="18">
        <f>'[4]SkM - GC Results (nmol g)'!AF32/1000</f>
        <v>0.23873585206529427</v>
      </c>
      <c r="AG32" s="18">
        <f>'[4]SkM - GC Results (nmol g)'!AG32/1000</f>
        <v>0.18383444268954416</v>
      </c>
      <c r="AH32" s="18">
        <f>'[4]SkM - GC Results (nmol g)'!AH32/1000</f>
        <v>0.18474863250228868</v>
      </c>
    </row>
    <row r="33" spans="1:34" x14ac:dyDescent="0.2">
      <c r="A33" t="s">
        <v>40</v>
      </c>
      <c r="C33" s="18">
        <f>'[4]SkM - GC Results (nmol g)'!C33/1000</f>
        <v>1.6205657719848277E-2</v>
      </c>
      <c r="D33" s="18">
        <f>'[4]SkM - GC Results (nmol g)'!D33/1000</f>
        <v>6.6286333340661863E-3</v>
      </c>
      <c r="E33" s="18">
        <f>'[4]SkM - GC Results (nmol g)'!E33/1000</f>
        <v>7.9703469206594164E-3</v>
      </c>
      <c r="F33" s="18">
        <f>'[4]SkM - GC Results (nmol g)'!F33/1000</f>
        <v>1.0738279273207731E-2</v>
      </c>
      <c r="G33" s="18">
        <f>'[4]SkM - GC Results (nmol g)'!G33/1000</f>
        <v>1.2331795002246747E-2</v>
      </c>
      <c r="H33" s="18">
        <f>'[4]SkM - GC Results (nmol g)'!H33/1000</f>
        <v>6.0165133350414254E-3</v>
      </c>
      <c r="I33" s="18">
        <f>'[4]SkM - GC Results (nmol g)'!I33/1000</f>
        <v>7.7671635138723211E-3</v>
      </c>
      <c r="J33" s="18">
        <f>'[4]SkM - GC Results (nmol g)'!J33/1000</f>
        <v>1.2522666824200836E-2</v>
      </c>
      <c r="K33" s="18">
        <f>'[4]SkM - GC Results (nmol g)'!K33/1000</f>
        <v>1.5135176476184927E-2</v>
      </c>
      <c r="L33" s="18">
        <f>'[4]SkM - GC Results (nmol g)'!L33/1000</f>
        <v>1.0774971037907838E-2</v>
      </c>
      <c r="M33" s="18"/>
      <c r="N33" s="18">
        <f>'[4]SkM - GC Results (nmol g)'!N33/1000</f>
        <v>2.4427663081943725E-2</v>
      </c>
      <c r="O33" s="18">
        <f>'[4]SkM - GC Results (nmol g)'!O33/1000</f>
        <v>1.5164813285066891E-2</v>
      </c>
      <c r="P33" s="18">
        <f>'[4]SkM - GC Results (nmol g)'!P33/1000</f>
        <v>6.63387967440149E-3</v>
      </c>
      <c r="Q33" s="18">
        <f>'[4]SkM - GC Results (nmol g)'!Q33/1000</f>
        <v>3.5793631987685565E-2</v>
      </c>
      <c r="R33" s="18">
        <f>'[4]SkM - GC Results (nmol g)'!R33/1000</f>
        <v>7.2246267397566158E-3</v>
      </c>
      <c r="S33" s="18">
        <f>'[4]SkM - GC Results (nmol g)'!S33/1000</f>
        <v>5.3731245281749326E-3</v>
      </c>
      <c r="T33" s="18">
        <f>'[4]SkM - GC Results (nmol g)'!T33/1000</f>
        <v>8.4965094964145095E-3</v>
      </c>
      <c r="U33" s="18">
        <f>'[4]SkM - GC Results (nmol g)'!U33/1000</f>
        <v>6.6314667200889346E-3</v>
      </c>
      <c r="V33" s="18">
        <f>'[4]SkM - GC Results (nmol g)'!V33/1000</f>
        <v>7.3732698119132042E-3</v>
      </c>
      <c r="W33" s="18">
        <f>'[4]SkM - GC Results (nmol g)'!W33/1000</f>
        <v>7.721156786720822E-3</v>
      </c>
      <c r="X33" s="18"/>
      <c r="Y33" s="18">
        <f>'[4]SkM - GC Results (nmol g)'!Y33/1000</f>
        <v>6.800763772044238E-3</v>
      </c>
      <c r="Z33" s="18">
        <f>'[4]SkM - GC Results (nmol g)'!Z33/1000</f>
        <v>7.3133458352901883E-3</v>
      </c>
      <c r="AA33" s="18">
        <f>'[4]SkM - GC Results (nmol g)'!AA33/1000</f>
        <v>6.2968106790546319E-3</v>
      </c>
      <c r="AB33" s="18">
        <f>'[4]SkM - GC Results (nmol g)'!AB33/1000</f>
        <v>6.9729541453599211E-3</v>
      </c>
      <c r="AC33" s="18">
        <f>'[4]SkM - GC Results (nmol g)'!AC33/1000</f>
        <v>5.4735291713067982E-3</v>
      </c>
      <c r="AD33" s="18"/>
      <c r="AE33" s="18"/>
      <c r="AF33" s="18">
        <f>'[4]SkM - GC Results (nmol g)'!AF33/1000</f>
        <v>9.9560495501467405E-3</v>
      </c>
      <c r="AG33" s="18">
        <f>'[4]SkM - GC Results (nmol g)'!AG33/1000</f>
        <v>6.4394042938843137E-3</v>
      </c>
      <c r="AH33" s="18">
        <f>'[4]SkM - GC Results (nmol g)'!AH33/1000</f>
        <v>8.1300706802978767E-3</v>
      </c>
    </row>
    <row r="34" spans="1:34" x14ac:dyDescent="0.2">
      <c r="A34" t="s">
        <v>41</v>
      </c>
      <c r="C34" s="18">
        <f>'[4]SkM - GC Results (nmol g)'!C34/1000</f>
        <v>2.7417421157698702E-2</v>
      </c>
      <c r="D34" s="18">
        <f>'[4]SkM - GC Results (nmol g)'!D34/1000</f>
        <v>1.0245826062533632E-2</v>
      </c>
      <c r="E34" s="18">
        <f>'[4]SkM - GC Results (nmol g)'!E34/1000</f>
        <v>1.2793623833227881E-2</v>
      </c>
      <c r="F34" s="18">
        <f>'[4]SkM - GC Results (nmol g)'!F34/1000</f>
        <v>1.4261869807384815E-2</v>
      </c>
      <c r="G34" s="18">
        <f>'[4]SkM - GC Results (nmol g)'!G34/1000</f>
        <v>1.8212229634973008E-2</v>
      </c>
      <c r="H34" s="18">
        <f>'[4]SkM - GC Results (nmol g)'!H34/1000</f>
        <v>1.5278929482613031E-2</v>
      </c>
      <c r="I34" s="18">
        <f>'[4]SkM - GC Results (nmol g)'!I34/1000</f>
        <v>2.1566479349680392E-2</v>
      </c>
      <c r="J34" s="18">
        <f>'[4]SkM - GC Results (nmol g)'!J34/1000</f>
        <v>2.0720190274570109E-2</v>
      </c>
      <c r="K34" s="18">
        <f>'[4]SkM - GC Results (nmol g)'!K34/1000</f>
        <v>2.0299670110226615E-2</v>
      </c>
      <c r="L34" s="18">
        <f>'[4]SkM - GC Results (nmol g)'!L34/1000</f>
        <v>2.493299048585056E-2</v>
      </c>
      <c r="M34" s="18"/>
      <c r="N34" s="18">
        <f>'[4]SkM - GC Results (nmol g)'!N34/1000</f>
        <v>3.5886089456739524E-2</v>
      </c>
      <c r="O34" s="18">
        <f>'[4]SkM - GC Results (nmol g)'!O34/1000</f>
        <v>1.4424082027081691E-2</v>
      </c>
      <c r="P34" s="18">
        <f>'[4]SkM - GC Results (nmol g)'!P34/1000</f>
        <v>1.1380523528693306E-2</v>
      </c>
      <c r="Q34" s="18">
        <f>'[4]SkM - GC Results (nmol g)'!Q34/1000</f>
        <v>3.8997746511288518E-2</v>
      </c>
      <c r="R34" s="18">
        <f>'[4]SkM - GC Results (nmol g)'!R34/1000</f>
        <v>1.1462164481716976E-2</v>
      </c>
      <c r="S34" s="18">
        <f>'[4]SkM - GC Results (nmol g)'!S34/1000</f>
        <v>1.0708011528744128E-2</v>
      </c>
      <c r="T34" s="18">
        <f>'[4]SkM - GC Results (nmol g)'!T34/1000</f>
        <v>2.3143855180491814E-2</v>
      </c>
      <c r="U34" s="18">
        <f>'[4]SkM - GC Results (nmol g)'!U34/1000</f>
        <v>1.3683328196863177E-2</v>
      </c>
      <c r="V34" s="18">
        <f>'[4]SkM - GC Results (nmol g)'!V34/1000</f>
        <v>1.4861454613910091E-2</v>
      </c>
      <c r="W34" s="18">
        <f>'[4]SkM - GC Results (nmol g)'!W34/1000</f>
        <v>1.3249636058904375E-2</v>
      </c>
      <c r="X34" s="18"/>
      <c r="Y34" s="18">
        <f>'[4]SkM - GC Results (nmol g)'!Y34/1000</f>
        <v>1.3279811279166697E-2</v>
      </c>
      <c r="Z34" s="18">
        <f>'[4]SkM - GC Results (nmol g)'!Z34/1000</f>
        <v>1.4110572498524251E-2</v>
      </c>
      <c r="AA34" s="18">
        <f>'[4]SkM - GC Results (nmol g)'!AA34/1000</f>
        <v>1.7096964723502257E-2</v>
      </c>
      <c r="AB34" s="18">
        <f>'[4]SkM - GC Results (nmol g)'!AB34/1000</f>
        <v>1.191259170349189E-2</v>
      </c>
      <c r="AC34" s="18">
        <f>'[4]SkM - GC Results (nmol g)'!AC34/1000</f>
        <v>1.0993182924224933E-2</v>
      </c>
      <c r="AD34" s="18"/>
      <c r="AE34" s="18"/>
      <c r="AF34" s="18">
        <f>'[4]SkM - GC Results (nmol g)'!AF34/1000</f>
        <v>1.8702524001868455E-2</v>
      </c>
      <c r="AG34" s="18">
        <f>'[4]SkM - GC Results (nmol g)'!AG34/1000</f>
        <v>1.3088447920481232E-2</v>
      </c>
      <c r="AH34" s="18">
        <f>'[4]SkM - GC Results (nmol g)'!AH34/1000</f>
        <v>1.5654680855581218E-2</v>
      </c>
    </row>
    <row r="35" spans="1:34" x14ac:dyDescent="0.2">
      <c r="A35" t="s">
        <v>42</v>
      </c>
      <c r="C35" s="18">
        <f>'[4]SkM - GC Results (nmol g)'!C35/1000</f>
        <v>7.9256003118113767E-3</v>
      </c>
      <c r="D35" s="18">
        <f>'[4]SkM - GC Results (nmol g)'!D35/1000</f>
        <v>2.9178938362168206E-3</v>
      </c>
      <c r="E35" s="18">
        <f>'[4]SkM - GC Results (nmol g)'!E35/1000</f>
        <v>6.0939448160936592E-3</v>
      </c>
      <c r="F35" s="18">
        <f>'[4]SkM - GC Results (nmol g)'!F35/1000</f>
        <v>6.283256012520339E-3</v>
      </c>
      <c r="G35" s="18">
        <f>'[4]SkM - GC Results (nmol g)'!G35/1000</f>
        <v>9.3963493812132259E-3</v>
      </c>
      <c r="H35" s="18">
        <f>'[4]SkM - GC Results (nmol g)'!H35/1000</f>
        <v>4.3962401862547521E-3</v>
      </c>
      <c r="I35" s="18">
        <f>'[4]SkM - GC Results (nmol g)'!I35/1000</f>
        <v>6.4451789303802852E-3</v>
      </c>
      <c r="J35" s="18">
        <f>'[4]SkM - GC Results (nmol g)'!J35/1000</f>
        <v>1.3051161332551915E-2</v>
      </c>
      <c r="K35" s="18">
        <f>'[4]SkM - GC Results (nmol g)'!K35/1000</f>
        <v>1.1789070449180032E-2</v>
      </c>
      <c r="L35" s="18">
        <f>'[4]SkM - GC Results (nmol g)'!L35/1000</f>
        <v>8.4887754084318912E-3</v>
      </c>
      <c r="M35" s="18"/>
      <c r="N35" s="18">
        <f>'[4]SkM - GC Results (nmol g)'!N35/1000</f>
        <v>1.9676032972168713E-2</v>
      </c>
      <c r="O35" s="18">
        <f>'[4]SkM - GC Results (nmol g)'!O35/1000</f>
        <v>8.7605517950631543E-3</v>
      </c>
      <c r="P35" s="18">
        <f>'[4]SkM - GC Results (nmol g)'!P35/1000</f>
        <v>5.565575959924891E-3</v>
      </c>
      <c r="Q35" s="18">
        <f>'[4]SkM - GC Results (nmol g)'!Q35/1000</f>
        <v>2.7537740231349448E-2</v>
      </c>
      <c r="R35" s="18">
        <f>'[4]SkM - GC Results (nmol g)'!R35/1000</f>
        <v>5.319658932427424E-3</v>
      </c>
      <c r="S35" s="18">
        <f>'[4]SkM - GC Results (nmol g)'!S35/1000</f>
        <v>3.7069012762051779E-3</v>
      </c>
      <c r="T35" s="18">
        <f>'[4]SkM - GC Results (nmol g)'!T35/1000</f>
        <v>8.2984011675691152E-3</v>
      </c>
      <c r="U35" s="18">
        <f>'[4]SkM - GC Results (nmol g)'!U35/1000</f>
        <v>1.4065016161454877E-2</v>
      </c>
      <c r="V35" s="18">
        <f>'[4]SkM - GC Results (nmol g)'!V35/1000</f>
        <v>6.71175024496771E-3</v>
      </c>
      <c r="W35" s="18">
        <f>'[4]SkM - GC Results (nmol g)'!W35/1000</f>
        <v>5.4993412653443772E-3</v>
      </c>
      <c r="X35" s="18"/>
      <c r="Y35" s="18">
        <f>'[4]SkM - GC Results (nmol g)'!Y35/1000</f>
        <v>5.9295936711552715E-3</v>
      </c>
      <c r="Z35" s="18">
        <f>'[4]SkM - GC Results (nmol g)'!Z35/1000</f>
        <v>4.8533894007158985E-3</v>
      </c>
      <c r="AA35" s="18">
        <f>'[4]SkM - GC Results (nmol g)'!AA35/1000</f>
        <v>7.4664313461320327E-3</v>
      </c>
      <c r="AB35" s="18">
        <f>'[4]SkM - GC Results (nmol g)'!AB35/1000</f>
        <v>4.0246901082746081E-3</v>
      </c>
      <c r="AC35" s="18">
        <f>'[4]SkM - GC Results (nmol g)'!AC35/1000</f>
        <v>4.4668424515491674E-3</v>
      </c>
      <c r="AD35" s="18"/>
      <c r="AE35" s="18"/>
      <c r="AF35" s="18">
        <f>'[4]SkM - GC Results (nmol g)'!AF35/1000</f>
        <v>6.7361927404636333E-3</v>
      </c>
      <c r="AG35" s="18">
        <f>'[4]SkM - GC Results (nmol g)'!AG35/1000</f>
        <v>3.9213238054891459E-3</v>
      </c>
      <c r="AH35" s="18">
        <f>'[4]SkM - GC Results (nmol g)'!AH35/1000</f>
        <v>6.1301570729911095E-3</v>
      </c>
    </row>
    <row r="36" spans="1:34" x14ac:dyDescent="0.2">
      <c r="A36" t="s">
        <v>43</v>
      </c>
      <c r="C36" s="18">
        <f>'[4]SkM - GC Results (nmol g)'!C36/1000</f>
        <v>5.3539104840801946E-2</v>
      </c>
      <c r="D36" s="18">
        <f>'[4]SkM - GC Results (nmol g)'!D36/1000</f>
        <v>1.8915509773152407E-2</v>
      </c>
      <c r="E36" s="18">
        <f>'[4]SkM - GC Results (nmol g)'!E36/1000</f>
        <v>2.4270069337248412E-2</v>
      </c>
      <c r="F36" s="18">
        <f>'[4]SkM - GC Results (nmol g)'!F36/1000</f>
        <v>2.2193088449432342E-2</v>
      </c>
      <c r="G36" s="18">
        <f>'[4]SkM - GC Results (nmol g)'!G36/1000</f>
        <v>2.504390802848561E-2</v>
      </c>
      <c r="H36" s="18">
        <f>'[4]SkM - GC Results (nmol g)'!H36/1000</f>
        <v>2.1954203066139759E-2</v>
      </c>
      <c r="I36" s="18">
        <f>'[4]SkM - GC Results (nmol g)'!I36/1000</f>
        <v>2.7729476266225947E-2</v>
      </c>
      <c r="J36" s="18">
        <f>'[4]SkM - GC Results (nmol g)'!J36/1000</f>
        <v>2.2308356328708537E-2</v>
      </c>
      <c r="K36" s="18">
        <f>'[4]SkM - GC Results (nmol g)'!K36/1000</f>
        <v>3.2556309291269181E-2</v>
      </c>
      <c r="L36" s="18">
        <f>'[4]SkM - GC Results (nmol g)'!L36/1000</f>
        <v>3.2617115713306395E-2</v>
      </c>
      <c r="M36" s="18"/>
      <c r="N36" s="18">
        <f>'[4]SkM - GC Results (nmol g)'!N36/1000</f>
        <v>4.4208321149632634E-2</v>
      </c>
      <c r="O36" s="18">
        <f>'[4]SkM - GC Results (nmol g)'!O36/1000</f>
        <v>2.0873359228897419E-2</v>
      </c>
      <c r="P36" s="18">
        <f>'[4]SkM - GC Results (nmol g)'!P36/1000</f>
        <v>1.632599781378179E-2</v>
      </c>
      <c r="Q36" s="18">
        <f>'[4]SkM - GC Results (nmol g)'!Q36/1000</f>
        <v>6.4316431805545971E-2</v>
      </c>
      <c r="R36" s="18">
        <f>'[4]SkM - GC Results (nmol g)'!R36/1000</f>
        <v>1.5339442968828755E-2</v>
      </c>
      <c r="S36" s="18">
        <f>'[4]SkM - GC Results (nmol g)'!S36/1000</f>
        <v>2.8184933325400348E-2</v>
      </c>
      <c r="T36" s="18">
        <f>'[4]SkM - GC Results (nmol g)'!T36/1000</f>
        <v>3.3235135037487228E-2</v>
      </c>
      <c r="U36" s="18">
        <f>'[4]SkM - GC Results (nmol g)'!U36/1000</f>
        <v>1.7898940524512966E-2</v>
      </c>
      <c r="V36" s="18">
        <f>'[4]SkM - GC Results (nmol g)'!V36/1000</f>
        <v>2.1695526967125709E-2</v>
      </c>
      <c r="W36" s="18">
        <f>'[4]SkM - GC Results (nmol g)'!W36/1000</f>
        <v>2.4115025091646258E-2</v>
      </c>
      <c r="X36" s="18"/>
      <c r="Y36" s="18">
        <f>'[4]SkM - GC Results (nmol g)'!Y36/1000</f>
        <v>1.9091147393014384E-2</v>
      </c>
      <c r="Z36" s="18">
        <f>'[4]SkM - GC Results (nmol g)'!Z36/1000</f>
        <v>2.1310861682500105E-2</v>
      </c>
      <c r="AA36" s="18">
        <f>'[4]SkM - GC Results (nmol g)'!AA36/1000</f>
        <v>2.1992775528380672E-2</v>
      </c>
      <c r="AB36" s="18">
        <f>'[4]SkM - GC Results (nmol g)'!AB36/1000</f>
        <v>1.6207684760332443E-2</v>
      </c>
      <c r="AC36" s="18">
        <f>'[4]SkM - GC Results (nmol g)'!AC36/1000</f>
        <v>1.7159054597291609E-2</v>
      </c>
      <c r="AD36" s="18"/>
      <c r="AE36" s="18"/>
      <c r="AF36" s="18">
        <f>'[4]SkM - GC Results (nmol g)'!AF36/1000</f>
        <v>3.4581350715923248E-2</v>
      </c>
      <c r="AG36" s="18">
        <f>'[4]SkM - GC Results (nmol g)'!AG36/1000</f>
        <v>2.242144283828031E-2</v>
      </c>
      <c r="AH36" s="18">
        <f>'[4]SkM - GC Results (nmol g)'!AH36/1000</f>
        <v>2.3922633744701868E-2</v>
      </c>
    </row>
    <row r="37" spans="1:34" x14ac:dyDescent="0.2">
      <c r="A37" t="s">
        <v>44</v>
      </c>
      <c r="C37" s="18">
        <f>'[4]SkM - GC Results (nmol g)'!C37/1000</f>
        <v>3.9785394507260763E-2</v>
      </c>
      <c r="D37" s="18">
        <f>'[4]SkM - GC Results (nmol g)'!D37/1000</f>
        <v>1.3269685229794706E-2</v>
      </c>
      <c r="E37" s="18">
        <f>'[4]SkM - GC Results (nmol g)'!E37/1000</f>
        <v>1.6418104661451566E-2</v>
      </c>
      <c r="F37" s="18">
        <f>'[4]SkM - GC Results (nmol g)'!F37/1000</f>
        <v>3.9344653419473588E-2</v>
      </c>
      <c r="G37" s="18">
        <f>'[4]SkM - GC Results (nmol g)'!G37/1000</f>
        <v>1.8697819060686717E-2</v>
      </c>
      <c r="H37" s="18">
        <f>'[4]SkM - GC Results (nmol g)'!H37/1000</f>
        <v>1.8841822061440652E-2</v>
      </c>
      <c r="I37" s="18">
        <f>'[4]SkM - GC Results (nmol g)'!I37/1000</f>
        <v>2.3208987659706182E-2</v>
      </c>
      <c r="J37" s="18">
        <f>'[4]SkM - GC Results (nmol g)'!J37/1000</f>
        <v>1.9952183635314685E-2</v>
      </c>
      <c r="K37" s="18">
        <f>'[4]SkM - GC Results (nmol g)'!K37/1000</f>
        <v>4.3794069025094647E-2</v>
      </c>
      <c r="L37" s="18">
        <f>'[4]SkM - GC Results (nmol g)'!L37/1000</f>
        <v>3.0594477991078731E-2</v>
      </c>
      <c r="M37" s="18"/>
      <c r="N37" s="18">
        <f>'[4]SkM - GC Results (nmol g)'!N37/1000</f>
        <v>4.8663392124896773E-2</v>
      </c>
      <c r="O37" s="18">
        <f>'[4]SkM - GC Results (nmol g)'!O37/1000</f>
        <v>3.8250695118178225E-2</v>
      </c>
      <c r="P37" s="18">
        <f>'[4]SkM - GC Results (nmol g)'!P37/1000</f>
        <v>2.0771948471629238E-2</v>
      </c>
      <c r="Q37" s="18">
        <f>'[4]SkM - GC Results (nmol g)'!Q37/1000</f>
        <v>5.8760575227907244E-2</v>
      </c>
      <c r="R37" s="18">
        <f>'[4]SkM - GC Results (nmol g)'!R37/1000</f>
        <v>1.2005985319697824E-2</v>
      </c>
      <c r="S37" s="18">
        <f>'[4]SkM - GC Results (nmol g)'!S37/1000</f>
        <v>1.0549023990312798E-2</v>
      </c>
      <c r="T37" s="18">
        <f>'[4]SkM - GC Results (nmol g)'!T37/1000</f>
        <v>1.8266831942394167E-2</v>
      </c>
      <c r="U37" s="18">
        <f>'[4]SkM - GC Results (nmol g)'!U37/1000</f>
        <v>1.4361706446523105E-2</v>
      </c>
      <c r="V37" s="18">
        <f>'[4]SkM - GC Results (nmol g)'!V37/1000</f>
        <v>1.5504123183432793E-2</v>
      </c>
      <c r="W37" s="18">
        <f>'[4]SkM - GC Results (nmol g)'!W37/1000</f>
        <v>1.3084218046644849E-2</v>
      </c>
      <c r="X37" s="18"/>
      <c r="Y37" s="18">
        <f>'[4]SkM - GC Results (nmol g)'!Y37/1000</f>
        <v>1.365311900134409E-2</v>
      </c>
      <c r="Z37" s="18">
        <f>'[4]SkM - GC Results (nmol g)'!Z37/1000</f>
        <v>1.5392251524184846E-2</v>
      </c>
      <c r="AA37" s="18">
        <f>'[4]SkM - GC Results (nmol g)'!AA37/1000</f>
        <v>1.4676069475234189E-2</v>
      </c>
      <c r="AB37" s="18">
        <f>'[4]SkM - GC Results (nmol g)'!AB37/1000</f>
        <v>2.2296601899189528E-2</v>
      </c>
      <c r="AC37" s="18">
        <f>'[4]SkM - GC Results (nmol g)'!AC37/1000</f>
        <v>1.5101870688820804E-2</v>
      </c>
      <c r="AD37" s="18"/>
      <c r="AE37" s="18"/>
      <c r="AF37" s="18">
        <f>'[4]SkM - GC Results (nmol g)'!AF37/1000</f>
        <v>1.0794857634109124E-2</v>
      </c>
      <c r="AG37" s="18">
        <f>'[4]SkM - GC Results (nmol g)'!AG37/1000</f>
        <v>1.2379417803244893E-2</v>
      </c>
      <c r="AH37" s="18">
        <f>'[4]SkM - GC Results (nmol g)'!AH37/1000</f>
        <v>1.3378149599074247E-2</v>
      </c>
    </row>
    <row r="38" spans="1:34" x14ac:dyDescent="0.2">
      <c r="A38" t="s">
        <v>45</v>
      </c>
      <c r="C38" s="18">
        <f>'[4]SkM - GC Results (nmol g)'!C38/1000</f>
        <v>0</v>
      </c>
      <c r="D38" s="18">
        <f>'[4]SkM - GC Results (nmol g)'!D38/1000</f>
        <v>0</v>
      </c>
      <c r="E38" s="18">
        <f>'[4]SkM - GC Results (nmol g)'!E38/1000</f>
        <v>0</v>
      </c>
      <c r="F38" s="18">
        <f>'[4]SkM - GC Results (nmol g)'!F38/1000</f>
        <v>0</v>
      </c>
      <c r="G38" s="18">
        <f>'[4]SkM - GC Results (nmol g)'!G38/1000</f>
        <v>0</v>
      </c>
      <c r="H38" s="18">
        <f>'[4]SkM - GC Results (nmol g)'!H38/1000</f>
        <v>0</v>
      </c>
      <c r="I38" s="18">
        <f>'[4]SkM - GC Results (nmol g)'!I38/1000</f>
        <v>0</v>
      </c>
      <c r="J38" s="18">
        <f>'[4]SkM - GC Results (nmol g)'!J38/1000</f>
        <v>0</v>
      </c>
      <c r="K38" s="18">
        <f>'[4]SkM - GC Results (nmol g)'!K38/1000</f>
        <v>0</v>
      </c>
      <c r="L38" s="18">
        <f>'[4]SkM - GC Results (nmol g)'!L38/1000</f>
        <v>0</v>
      </c>
      <c r="M38" s="18"/>
      <c r="N38" s="18">
        <f>'[4]SkM - GC Results (nmol g)'!N38/1000</f>
        <v>0</v>
      </c>
      <c r="O38" s="18">
        <f>'[4]SkM - GC Results (nmol g)'!O38/1000</f>
        <v>0</v>
      </c>
      <c r="P38" s="18">
        <f>'[4]SkM - GC Results (nmol g)'!P38/1000</f>
        <v>0</v>
      </c>
      <c r="Q38" s="18">
        <f>'[4]SkM - GC Results (nmol g)'!Q38/1000</f>
        <v>0</v>
      </c>
      <c r="R38" s="18">
        <f>'[4]SkM - GC Results (nmol g)'!R38/1000</f>
        <v>0</v>
      </c>
      <c r="S38" s="18">
        <f>'[4]SkM - GC Results (nmol g)'!S38/1000</f>
        <v>0</v>
      </c>
      <c r="T38" s="18">
        <f>'[4]SkM - GC Results (nmol g)'!T38/1000</f>
        <v>0</v>
      </c>
      <c r="U38" s="18">
        <f>'[4]SkM - GC Results (nmol g)'!U38/1000</f>
        <v>0</v>
      </c>
      <c r="V38" s="18">
        <f>'[4]SkM - GC Results (nmol g)'!V38/1000</f>
        <v>0</v>
      </c>
      <c r="W38" s="18">
        <f>'[4]SkM - GC Results (nmol g)'!W38/1000</f>
        <v>0</v>
      </c>
      <c r="X38" s="18"/>
      <c r="Y38" s="18">
        <f>'[4]SkM - GC Results (nmol g)'!Y38/1000</f>
        <v>0</v>
      </c>
      <c r="Z38" s="18">
        <f>'[4]SkM - GC Results (nmol g)'!Z38/1000</f>
        <v>0</v>
      </c>
      <c r="AA38" s="18">
        <f>'[4]SkM - GC Results (nmol g)'!AA38/1000</f>
        <v>0</v>
      </c>
      <c r="AB38" s="18">
        <f>'[4]SkM - GC Results (nmol g)'!AB38/1000</f>
        <v>0</v>
      </c>
      <c r="AC38" s="18">
        <f>'[4]SkM - GC Results (nmol g)'!AC38/1000</f>
        <v>0</v>
      </c>
      <c r="AD38" s="18"/>
      <c r="AE38" s="18"/>
      <c r="AF38" s="18">
        <f>'[4]SkM - GC Results (nmol g)'!AF38/1000</f>
        <v>0</v>
      </c>
      <c r="AG38" s="18">
        <f>'[4]SkM - GC Results (nmol g)'!AG38/1000</f>
        <v>0</v>
      </c>
      <c r="AH38" s="18">
        <f>'[4]SkM - GC Results (nmol g)'!AH38/1000</f>
        <v>0</v>
      </c>
    </row>
    <row r="39" spans="1:34" x14ac:dyDescent="0.2">
      <c r="A39" t="s">
        <v>46</v>
      </c>
      <c r="C39" s="18">
        <f>'[4]SkM - GC Results (nmol g)'!C39/1000</f>
        <v>0</v>
      </c>
      <c r="D39" s="18">
        <f>'[4]SkM - GC Results (nmol g)'!D39/1000</f>
        <v>0</v>
      </c>
      <c r="E39" s="18">
        <f>'[4]SkM - GC Results (nmol g)'!E39/1000</f>
        <v>0</v>
      </c>
      <c r="F39" s="18">
        <f>'[4]SkM - GC Results (nmol g)'!F39/1000</f>
        <v>0</v>
      </c>
      <c r="G39" s="18">
        <f>'[4]SkM - GC Results (nmol g)'!G39/1000</f>
        <v>0</v>
      </c>
      <c r="H39" s="18">
        <f>'[4]SkM - GC Results (nmol g)'!H39/1000</f>
        <v>0</v>
      </c>
      <c r="I39" s="18">
        <f>'[4]SkM - GC Results (nmol g)'!I39/1000</f>
        <v>0</v>
      </c>
      <c r="J39" s="18">
        <f>'[4]SkM - GC Results (nmol g)'!J39/1000</f>
        <v>0</v>
      </c>
      <c r="K39" s="18">
        <f>'[4]SkM - GC Results (nmol g)'!K39/1000</f>
        <v>0</v>
      </c>
      <c r="L39" s="18">
        <f>'[4]SkM - GC Results (nmol g)'!L39/1000</f>
        <v>0</v>
      </c>
      <c r="M39" s="18"/>
      <c r="N39" s="18">
        <f>'[4]SkM - GC Results (nmol g)'!N39/1000</f>
        <v>0</v>
      </c>
      <c r="O39" s="18">
        <f>'[4]SkM - GC Results (nmol g)'!O39/1000</f>
        <v>0</v>
      </c>
      <c r="P39" s="18">
        <f>'[4]SkM - GC Results (nmol g)'!P39/1000</f>
        <v>0</v>
      </c>
      <c r="Q39" s="18">
        <f>'[4]SkM - GC Results (nmol g)'!Q39/1000</f>
        <v>0</v>
      </c>
      <c r="R39" s="18">
        <f>'[4]SkM - GC Results (nmol g)'!R39/1000</f>
        <v>0</v>
      </c>
      <c r="S39" s="18">
        <f>'[4]SkM - GC Results (nmol g)'!S39/1000</f>
        <v>0</v>
      </c>
      <c r="T39" s="18">
        <f>'[4]SkM - GC Results (nmol g)'!T39/1000</f>
        <v>0</v>
      </c>
      <c r="U39" s="18">
        <f>'[4]SkM - GC Results (nmol g)'!U39/1000</f>
        <v>0</v>
      </c>
      <c r="V39" s="18">
        <f>'[4]SkM - GC Results (nmol g)'!V39/1000</f>
        <v>0</v>
      </c>
      <c r="W39" s="18">
        <f>'[4]SkM - GC Results (nmol g)'!W39/1000</f>
        <v>0</v>
      </c>
      <c r="X39" s="18"/>
      <c r="Y39" s="18">
        <f>'[4]SkM - GC Results (nmol g)'!Y39/1000</f>
        <v>0</v>
      </c>
      <c r="Z39" s="18">
        <f>'[4]SkM - GC Results (nmol g)'!Z39/1000</f>
        <v>0</v>
      </c>
      <c r="AA39" s="18">
        <f>'[4]SkM - GC Results (nmol g)'!AA39/1000</f>
        <v>0</v>
      </c>
      <c r="AB39" s="18">
        <f>'[4]SkM - GC Results (nmol g)'!AB39/1000</f>
        <v>0</v>
      </c>
      <c r="AC39" s="18">
        <f>'[4]SkM - GC Results (nmol g)'!AC39/1000</f>
        <v>0</v>
      </c>
      <c r="AD39" s="18"/>
      <c r="AE39" s="18"/>
      <c r="AF39" s="18">
        <f>'[4]SkM - GC Results (nmol g)'!AF39/1000</f>
        <v>0</v>
      </c>
      <c r="AG39" s="18">
        <f>'[4]SkM - GC Results (nmol g)'!AG39/1000</f>
        <v>0</v>
      </c>
      <c r="AH39" s="18">
        <f>'[4]SkM - GC Results (nmol g)'!AH39/1000</f>
        <v>0</v>
      </c>
    </row>
    <row r="40" spans="1:34" x14ac:dyDescent="0.2">
      <c r="A40" t="s">
        <v>47</v>
      </c>
      <c r="C40" s="18">
        <f>'[4]SkM - GC Results (nmol g)'!C40/1000</f>
        <v>1.7983885260187932E-2</v>
      </c>
      <c r="D40" s="18">
        <f>'[4]SkM - GC Results (nmol g)'!D40/1000</f>
        <v>1.0196245528283148E-2</v>
      </c>
      <c r="E40" s="18">
        <f>'[4]SkM - GC Results (nmol g)'!E40/1000</f>
        <v>1.6159324080543422E-2</v>
      </c>
      <c r="F40" s="18">
        <f>'[4]SkM - GC Results (nmol g)'!F40/1000</f>
        <v>1.5058394964552087E-2</v>
      </c>
      <c r="G40" s="18">
        <f>'[4]SkM - GC Results (nmol g)'!G40/1000</f>
        <v>2.2639733994214865E-2</v>
      </c>
      <c r="H40" s="18">
        <f>'[4]SkM - GC Results (nmol g)'!H40/1000</f>
        <v>1.4541081061194462E-2</v>
      </c>
      <c r="I40" s="18">
        <f>'[4]SkM - GC Results (nmol g)'!I40/1000</f>
        <v>1.524243123324835E-2</v>
      </c>
      <c r="J40" s="18">
        <f>'[4]SkM - GC Results (nmol g)'!J40/1000</f>
        <v>3.0132932278062099E-2</v>
      </c>
      <c r="K40" s="18">
        <f>'[4]SkM - GC Results (nmol g)'!K40/1000</f>
        <v>2.6105351778364972E-2</v>
      </c>
      <c r="L40" s="18">
        <f>'[4]SkM - GC Results (nmol g)'!L40/1000</f>
        <v>2.4500818177411204E-2</v>
      </c>
      <c r="M40" s="18"/>
      <c r="N40" s="18">
        <f>'[4]SkM - GC Results (nmol g)'!N40/1000</f>
        <v>3.6419532727855079E-2</v>
      </c>
      <c r="O40" s="18">
        <f>'[4]SkM - GC Results (nmol g)'!O40/1000</f>
        <v>1.6562940872763152E-2</v>
      </c>
      <c r="P40" s="18">
        <f>'[4]SkM - GC Results (nmol g)'!P40/1000</f>
        <v>1.0684789244948607E-2</v>
      </c>
      <c r="Q40" s="18">
        <f>'[4]SkM - GC Results (nmol g)'!Q40/1000</f>
        <v>3.9435216039825742E-2</v>
      </c>
      <c r="R40" s="18">
        <f>'[4]SkM - GC Results (nmol g)'!R40/1000</f>
        <v>1.0864274884562783E-2</v>
      </c>
      <c r="S40" s="18">
        <f>'[4]SkM - GC Results (nmol g)'!S40/1000</f>
        <v>1.4923200962608695E-2</v>
      </c>
      <c r="T40" s="18">
        <f>'[4]SkM - GC Results (nmol g)'!T40/1000</f>
        <v>2.8474206975038208E-2</v>
      </c>
      <c r="U40" s="18">
        <f>'[4]SkM - GC Results (nmol g)'!U40/1000</f>
        <v>1.6622702514827E-2</v>
      </c>
      <c r="V40" s="18">
        <f>'[4]SkM - GC Results (nmol g)'!V40/1000</f>
        <v>1.5365041532623965E-2</v>
      </c>
      <c r="W40" s="18">
        <f>'[4]SkM - GC Results (nmol g)'!W40/1000</f>
        <v>1.5807597283274279E-2</v>
      </c>
      <c r="X40" s="18"/>
      <c r="Y40" s="18">
        <f>'[4]SkM - GC Results (nmol g)'!Y40/1000</f>
        <v>1.2906329987907337E-2</v>
      </c>
      <c r="Z40" s="18">
        <f>'[4]SkM - GC Results (nmol g)'!Z40/1000</f>
        <v>1.3688217047576395E-2</v>
      </c>
      <c r="AA40" s="18">
        <f>'[4]SkM - GC Results (nmol g)'!AA40/1000</f>
        <v>1.7091006399135664E-2</v>
      </c>
      <c r="AB40" s="18">
        <f>'[4]SkM - GC Results (nmol g)'!AB40/1000</f>
        <v>1.2914824374290968E-2</v>
      </c>
      <c r="AC40" s="18">
        <f>'[4]SkM - GC Results (nmol g)'!AC40/1000</f>
        <v>1.133711438325666E-2</v>
      </c>
      <c r="AD40" s="18"/>
      <c r="AE40" s="18"/>
      <c r="AF40" s="18">
        <f>'[4]SkM - GC Results (nmol g)'!AF40/1000</f>
        <v>1.7934895351978952E-2</v>
      </c>
      <c r="AG40" s="18">
        <f>'[4]SkM - GC Results (nmol g)'!AG40/1000</f>
        <v>1.489028769621086E-2</v>
      </c>
      <c r="AH40" s="18">
        <f>'[4]SkM - GC Results (nmol g)'!AH40/1000</f>
        <v>1.6776533963784552E-2</v>
      </c>
    </row>
    <row r="41" spans="1:34" x14ac:dyDescent="0.2">
      <c r="A41" s="3"/>
      <c r="B41" s="3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12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x14ac:dyDescent="0.2">
      <c r="A42" s="10" t="s">
        <v>48</v>
      </c>
      <c r="B42" s="3"/>
      <c r="C42" s="11">
        <f>SUM(C26:C40)</f>
        <v>5.0236180644117541</v>
      </c>
      <c r="D42" s="11">
        <f t="shared" ref="D42:AH42" si="1">SUM(D26:D40)</f>
        <v>1.8211217007912992</v>
      </c>
      <c r="E42" s="11">
        <f t="shared" si="1"/>
        <v>1.9209570644521718</v>
      </c>
      <c r="F42" s="11">
        <f t="shared" si="1"/>
        <v>1.5755853985488897</v>
      </c>
      <c r="G42" s="11">
        <f t="shared" si="1"/>
        <v>1.9101287887169105</v>
      </c>
      <c r="H42" s="11">
        <f t="shared" si="1"/>
        <v>1.6113238538602144</v>
      </c>
      <c r="I42" s="11">
        <f t="shared" si="1"/>
        <v>2.9402495016696726</v>
      </c>
      <c r="J42" s="11">
        <f t="shared" si="1"/>
        <v>1.8449317327361017</v>
      </c>
      <c r="K42" s="11">
        <f t="shared" si="1"/>
        <v>1.6189245017367377</v>
      </c>
      <c r="L42" s="11">
        <f t="shared" si="1"/>
        <v>2.8474933762513914</v>
      </c>
      <c r="M42" s="11"/>
      <c r="N42" s="11">
        <f t="shared" si="1"/>
        <v>2.3820378788121146</v>
      </c>
      <c r="O42" s="11">
        <f t="shared" si="1"/>
        <v>1.3311841967632529</v>
      </c>
      <c r="P42" s="11">
        <f t="shared" si="1"/>
        <v>1.1169451517189219</v>
      </c>
      <c r="Q42" s="11">
        <f t="shared" si="1"/>
        <v>2.8859259266128841</v>
      </c>
      <c r="R42" s="11">
        <f t="shared" si="1"/>
        <v>1.9362782151536051</v>
      </c>
      <c r="S42" s="11">
        <f t="shared" si="1"/>
        <v>1.7221299863953359</v>
      </c>
      <c r="T42" s="11">
        <f t="shared" si="1"/>
        <v>2.6660584252421424</v>
      </c>
      <c r="U42" s="11">
        <f t="shared" si="1"/>
        <v>2.224585173759134</v>
      </c>
      <c r="V42" s="11">
        <f t="shared" si="1"/>
        <v>2.0719972834454872</v>
      </c>
      <c r="W42" s="11">
        <f t="shared" si="1"/>
        <v>1.5994976481139194</v>
      </c>
      <c r="X42" s="11"/>
      <c r="Y42" s="11">
        <f t="shared" si="1"/>
        <v>2.0835776850695074</v>
      </c>
      <c r="Z42" s="11">
        <f t="shared" si="1"/>
        <v>1.8352896975547734</v>
      </c>
      <c r="AA42" s="11">
        <f t="shared" si="1"/>
        <v>1.9201692048158352</v>
      </c>
      <c r="AB42" s="11">
        <f t="shared" si="1"/>
        <v>1.6840129761107416</v>
      </c>
      <c r="AC42" s="11">
        <f t="shared" si="1"/>
        <v>1.1757075908322567</v>
      </c>
      <c r="AD42" s="11"/>
      <c r="AE42" s="11"/>
      <c r="AF42" s="11">
        <f t="shared" si="1"/>
        <v>2.7418432087820128</v>
      </c>
      <c r="AG42" s="11">
        <f t="shared" si="1"/>
        <v>1.9764275588430569</v>
      </c>
      <c r="AH42" s="11">
        <f t="shared" si="1"/>
        <v>2.1167725025847659</v>
      </c>
    </row>
    <row r="43" spans="1:34" x14ac:dyDescent="0.2">
      <c r="A43" s="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spans="1:34" x14ac:dyDescent="0.2">
      <c r="A44" s="4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spans="1:34" x14ac:dyDescent="0.2">
      <c r="C45" s="12"/>
      <c r="D45" s="12"/>
      <c r="E45" s="12"/>
      <c r="F45" s="12"/>
      <c r="G45" s="12"/>
      <c r="H45" s="12"/>
      <c r="I45" s="12"/>
      <c r="J45" s="12"/>
      <c r="K45" s="12"/>
      <c r="L45" s="9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9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9"/>
    </row>
    <row r="46" spans="1:34" ht="16" x14ac:dyDescent="0.2">
      <c r="A46" s="2" t="s">
        <v>51</v>
      </c>
      <c r="B46" s="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spans="1:34" x14ac:dyDescent="0.2">
      <c r="A47" s="4" t="s">
        <v>2</v>
      </c>
      <c r="C47" s="7" t="s">
        <v>117</v>
      </c>
      <c r="D47" s="7" t="s">
        <v>118</v>
      </c>
      <c r="E47" s="7" t="s">
        <v>119</v>
      </c>
      <c r="F47" s="7" t="s">
        <v>120</v>
      </c>
      <c r="G47" s="7" t="s">
        <v>121</v>
      </c>
      <c r="H47" s="7" t="s">
        <v>122</v>
      </c>
      <c r="I47" s="7" t="s">
        <v>123</v>
      </c>
      <c r="J47" s="7" t="s">
        <v>124</v>
      </c>
      <c r="K47" s="7" t="s">
        <v>125</v>
      </c>
      <c r="L47" s="7" t="s">
        <v>126</v>
      </c>
      <c r="M47" s="7"/>
      <c r="N47" s="7" t="s">
        <v>127</v>
      </c>
      <c r="O47" s="7" t="s">
        <v>128</v>
      </c>
      <c r="P47" s="7" t="s">
        <v>129</v>
      </c>
      <c r="Q47" s="7" t="s">
        <v>130</v>
      </c>
      <c r="R47" s="7" t="s">
        <v>131</v>
      </c>
      <c r="S47" s="7" t="s">
        <v>132</v>
      </c>
      <c r="T47" s="7" t="s">
        <v>133</v>
      </c>
      <c r="U47" s="7" t="s">
        <v>134</v>
      </c>
      <c r="V47" s="7" t="s">
        <v>135</v>
      </c>
      <c r="W47" s="7" t="s">
        <v>136</v>
      </c>
      <c r="X47" s="12"/>
      <c r="Y47" s="7" t="s">
        <v>137</v>
      </c>
      <c r="Z47" s="7" t="s">
        <v>138</v>
      </c>
      <c r="AA47" s="7"/>
      <c r="AB47" s="7" t="s">
        <v>140</v>
      </c>
      <c r="AC47" s="7" t="s">
        <v>141</v>
      </c>
      <c r="AD47" s="7" t="s">
        <v>142</v>
      </c>
      <c r="AE47" s="7"/>
      <c r="AF47" s="7" t="s">
        <v>144</v>
      </c>
      <c r="AG47" s="7" t="s">
        <v>145</v>
      </c>
      <c r="AH47" s="7" t="s">
        <v>146</v>
      </c>
    </row>
    <row r="48" spans="1:34" x14ac:dyDescent="0.2">
      <c r="A48" t="s">
        <v>33</v>
      </c>
      <c r="C48" s="18">
        <f>'[4]SkM - GC Results (nmol g)'!C48/1000</f>
        <v>8.9781573140870741</v>
      </c>
      <c r="D48" s="18">
        <f>'[4]SkM - GC Results (nmol g)'!D48/1000</f>
        <v>5.504700777163646</v>
      </c>
      <c r="E48" s="18">
        <f>'[4]SkM - GC Results (nmol g)'!E48/1000</f>
        <v>6.154554485032671</v>
      </c>
      <c r="F48" s="18">
        <f>'[4]SkM - GC Results (nmol g)'!F48/1000</f>
        <v>3.3472238801290444</v>
      </c>
      <c r="G48" s="18">
        <f>'[4]SkM - GC Results (nmol g)'!G48/1000</f>
        <v>3.2105525544058482</v>
      </c>
      <c r="H48" s="18">
        <f>'[4]SkM - GC Results (nmol g)'!H48/1000</f>
        <v>5.2825903638344842</v>
      </c>
      <c r="I48" s="18">
        <f>'[4]SkM - GC Results (nmol g)'!I48/1000</f>
        <v>11.588582690421788</v>
      </c>
      <c r="J48" s="18">
        <f>'[4]SkM - GC Results (nmol g)'!J48/1000</f>
        <v>5.8428632730131422</v>
      </c>
      <c r="K48" s="18">
        <f>'[4]SkM - GC Results (nmol g)'!K48/1000</f>
        <v>1.5790076099563377</v>
      </c>
      <c r="L48" s="18">
        <f>'[4]SkM - GC Results (nmol g)'!L48/1000</f>
        <v>6.8899770864418519</v>
      </c>
      <c r="M48" s="18"/>
      <c r="N48" s="18">
        <f>'[4]SkM - GC Results (nmol g)'!N48/1000</f>
        <v>3.3681290745317067</v>
      </c>
      <c r="O48" s="18">
        <f>'[4]SkM - GC Results (nmol g)'!O48/1000</f>
        <v>0.68303981208378817</v>
      </c>
      <c r="P48" s="18">
        <f>'[4]SkM - GC Results (nmol g)'!P48/1000</f>
        <v>0.69945026824078183</v>
      </c>
      <c r="Q48" s="18">
        <f>'[4]SkM - GC Results (nmol g)'!Q48/1000</f>
        <v>4.789487893594119</v>
      </c>
      <c r="R48" s="18">
        <f>'[4]SkM - GC Results (nmol g)'!R48/1000</f>
        <v>6.7430540272823514</v>
      </c>
      <c r="S48" s="18">
        <f>'[4]SkM - GC Results (nmol g)'!S48/1000</f>
        <v>1.8736095676716877</v>
      </c>
      <c r="T48" s="18">
        <f>'[4]SkM - GC Results (nmol g)'!T48/1000</f>
        <v>4.3617923838131665</v>
      </c>
      <c r="U48" s="18">
        <f>'[4]SkM - GC Results (nmol g)'!U48/1000</f>
        <v>4.889075586208083</v>
      </c>
      <c r="V48" s="18">
        <f>'[4]SkM - GC Results (nmol g)'!V48/1000</f>
        <v>1.8040926850136481</v>
      </c>
      <c r="W48" s="18">
        <f>'[4]SkM - GC Results (nmol g)'!W48/1000</f>
        <v>3.3044274816050847</v>
      </c>
      <c r="X48" s="18"/>
      <c r="Y48" s="18">
        <f>'[4]SkM - GC Results (nmol g)'!Y48/1000</f>
        <v>5.7870946532989427</v>
      </c>
      <c r="Z48" s="18">
        <f>'[4]SkM - GC Results (nmol g)'!Z48/1000</f>
        <v>4.9889841061598252</v>
      </c>
      <c r="AA48" s="18"/>
      <c r="AB48" s="18">
        <f>'[4]SkM - GC Results (nmol g)'!AB48/1000</f>
        <v>2.5721116570457982</v>
      </c>
      <c r="AC48" s="18">
        <f>'[4]SkM - GC Results (nmol g)'!AC48/1000</f>
        <v>2.3458429623981369</v>
      </c>
      <c r="AD48" s="18">
        <f>'[4]SkM - GC Results (nmol g)'!AD48/1000</f>
        <v>2.0866537841388562</v>
      </c>
      <c r="AE48" s="18"/>
      <c r="AF48" s="18">
        <f>'[4]SkM - GC Results (nmol g)'!AF48/1000</f>
        <v>4.9477375530477463</v>
      </c>
      <c r="AG48" s="18">
        <f>'[4]SkM - GC Results (nmol g)'!AG48/1000</f>
        <v>3.4554372682825418</v>
      </c>
      <c r="AH48" s="18">
        <f>'[4]SkM - GC Results (nmol g)'!AH48/1000</f>
        <v>2.4387043887778606</v>
      </c>
    </row>
    <row r="49" spans="1:34" x14ac:dyDescent="0.2">
      <c r="A49" t="s">
        <v>35</v>
      </c>
      <c r="C49" s="18">
        <f>'[4]SkM - GC Results (nmol g)'!C49/1000</f>
        <v>187.01273506302394</v>
      </c>
      <c r="D49" s="18">
        <f>'[4]SkM - GC Results (nmol g)'!D49/1000</f>
        <v>100.04376309254253</v>
      </c>
      <c r="E49" s="18">
        <f>'[4]SkM - GC Results (nmol g)'!E49/1000</f>
        <v>120.60207550978247</v>
      </c>
      <c r="F49" s="18">
        <f>'[4]SkM - GC Results (nmol g)'!F49/1000</f>
        <v>60.890501275116073</v>
      </c>
      <c r="G49" s="18">
        <f>'[4]SkM - GC Results (nmol g)'!G49/1000</f>
        <v>64.795550007915367</v>
      </c>
      <c r="H49" s="18">
        <f>'[4]SkM - GC Results (nmol g)'!H49/1000</f>
        <v>89.430502959245771</v>
      </c>
      <c r="I49" s="18">
        <f>'[4]SkM - GC Results (nmol g)'!I49/1000</f>
        <v>246.24867210258651</v>
      </c>
      <c r="J49" s="18">
        <f>'[4]SkM - GC Results (nmol g)'!J49/1000</f>
        <v>91.498043061775675</v>
      </c>
      <c r="K49" s="18">
        <f>'[4]SkM - GC Results (nmol g)'!K49/1000</f>
        <v>32.689658161305637</v>
      </c>
      <c r="L49" s="18">
        <f>'[4]SkM - GC Results (nmol g)'!L49/1000</f>
        <v>132.92226003632146</v>
      </c>
      <c r="M49" s="18"/>
      <c r="N49" s="18">
        <f>'[4]SkM - GC Results (nmol g)'!N49/1000</f>
        <v>63.269722041297939</v>
      </c>
      <c r="O49" s="18">
        <f>'[4]SkM - GC Results (nmol g)'!O49/1000</f>
        <v>11.523336783821735</v>
      </c>
      <c r="P49" s="18">
        <f>'[4]SkM - GC Results (nmol g)'!P49/1000</f>
        <v>14.43413429347282</v>
      </c>
      <c r="Q49" s="18">
        <f>'[4]SkM - GC Results (nmol g)'!Q49/1000</f>
        <v>80.735513779098511</v>
      </c>
      <c r="R49" s="18">
        <f>'[4]SkM - GC Results (nmol g)'!R49/1000</f>
        <v>113.49724406767062</v>
      </c>
      <c r="S49" s="18">
        <f>'[4]SkM - GC Results (nmol g)'!S49/1000</f>
        <v>33.659499281016167</v>
      </c>
      <c r="T49" s="18">
        <f>'[4]SkM - GC Results (nmol g)'!T49/1000</f>
        <v>73.166454832751555</v>
      </c>
      <c r="U49" s="18">
        <f>'[4]SkM - GC Results (nmol g)'!U49/1000</f>
        <v>92.160687047456648</v>
      </c>
      <c r="V49" s="18">
        <f>'[4]SkM - GC Results (nmol g)'!V49/1000</f>
        <v>31.613048984924909</v>
      </c>
      <c r="W49" s="18">
        <f>'[4]SkM - GC Results (nmol g)'!W49/1000</f>
        <v>55.923119527699221</v>
      </c>
      <c r="X49" s="18"/>
      <c r="Y49" s="18">
        <f>'[4]SkM - GC Results (nmol g)'!Y49/1000</f>
        <v>99.750152141439003</v>
      </c>
      <c r="Z49" s="18">
        <f>'[4]SkM - GC Results (nmol g)'!Z49/1000</f>
        <v>83.391979742440057</v>
      </c>
      <c r="AA49" s="18"/>
      <c r="AB49" s="18">
        <f>'[4]SkM - GC Results (nmol g)'!AB49/1000</f>
        <v>46.618218091052924</v>
      </c>
      <c r="AC49" s="18">
        <f>'[4]SkM - GC Results (nmol g)'!AC49/1000</f>
        <v>36.543686960395448</v>
      </c>
      <c r="AD49" s="18">
        <f>'[4]SkM - GC Results (nmol g)'!AD49/1000</f>
        <v>35.542262685653398</v>
      </c>
      <c r="AE49" s="18"/>
      <c r="AF49" s="18">
        <f>'[4]SkM - GC Results (nmol g)'!AF49/1000</f>
        <v>83.146816518803121</v>
      </c>
      <c r="AG49" s="18">
        <f>'[4]SkM - GC Results (nmol g)'!AG49/1000</f>
        <v>59.094747813627407</v>
      </c>
      <c r="AH49" s="18">
        <f>'[4]SkM - GC Results (nmol g)'!AH49/1000</f>
        <v>41.148198462569525</v>
      </c>
    </row>
    <row r="50" spans="1:34" x14ac:dyDescent="0.2">
      <c r="A50" t="s">
        <v>36</v>
      </c>
      <c r="C50" s="18">
        <f>'[4]SkM - GC Results (nmol g)'!C50/1000</f>
        <v>49.60288705989624</v>
      </c>
      <c r="D50" s="18">
        <f>'[4]SkM - GC Results (nmol g)'!D50/1000</f>
        <v>28.254320571541196</v>
      </c>
      <c r="E50" s="18">
        <f>'[4]SkM - GC Results (nmol g)'!E50/1000</f>
        <v>35.688410380314934</v>
      </c>
      <c r="F50" s="18">
        <f>'[4]SkM - GC Results (nmol g)'!F50/1000</f>
        <v>16.35526520972093</v>
      </c>
      <c r="G50" s="18">
        <f>'[4]SkM - GC Results (nmol g)'!G50/1000</f>
        <v>18.227059207204857</v>
      </c>
      <c r="H50" s="18">
        <f>'[4]SkM - GC Results (nmol g)'!H50/1000</f>
        <v>31.461279606920872</v>
      </c>
      <c r="I50" s="18">
        <f>'[4]SkM - GC Results (nmol g)'!I50/1000</f>
        <v>60.146888511239347</v>
      </c>
      <c r="J50" s="18">
        <f>'[4]SkM - GC Results (nmol g)'!J50/1000</f>
        <v>35.471842783899191</v>
      </c>
      <c r="K50" s="18">
        <f>'[4]SkM - GC Results (nmol g)'!K50/1000</f>
        <v>9.1791821388099173</v>
      </c>
      <c r="L50" s="18">
        <f>'[4]SkM - GC Results (nmol g)'!L50/1000</f>
        <v>37.928154794716171</v>
      </c>
      <c r="M50" s="18"/>
      <c r="N50" s="18">
        <f>'[4]SkM - GC Results (nmol g)'!N50/1000</f>
        <v>23.335004713239055</v>
      </c>
      <c r="O50" s="18">
        <f>'[4]SkM - GC Results (nmol g)'!O50/1000</f>
        <v>3.9517324938041725</v>
      </c>
      <c r="P50" s="18">
        <f>'[4]SkM - GC Results (nmol g)'!P50/1000</f>
        <v>4.083968833156332</v>
      </c>
      <c r="Q50" s="18">
        <f>'[4]SkM - GC Results (nmol g)'!Q50/1000</f>
        <v>24.036778235662862</v>
      </c>
      <c r="R50" s="18">
        <f>'[4]SkM - GC Results (nmol g)'!R50/1000</f>
        <v>34.423100547678317</v>
      </c>
      <c r="S50" s="18">
        <f>'[4]SkM - GC Results (nmol g)'!S50/1000</f>
        <v>9.8549891972691874</v>
      </c>
      <c r="T50" s="18">
        <f>'[4]SkM - GC Results (nmol g)'!T50/1000</f>
        <v>27.525278226840367</v>
      </c>
      <c r="U50" s="18">
        <f>'[4]SkM - GC Results (nmol g)'!U50/1000</f>
        <v>26.316614508991886</v>
      </c>
      <c r="V50" s="18">
        <f>'[4]SkM - GC Results (nmol g)'!V50/1000</f>
        <v>7.7101272114624031</v>
      </c>
      <c r="W50" s="18">
        <f>'[4]SkM - GC Results (nmol g)'!W50/1000</f>
        <v>14.629851441392733</v>
      </c>
      <c r="X50" s="18"/>
      <c r="Y50" s="18">
        <f>'[4]SkM - GC Results (nmol g)'!Y50/1000</f>
        <v>39.250010988505821</v>
      </c>
      <c r="Z50" s="18">
        <f>'[4]SkM - GC Results (nmol g)'!Z50/1000</f>
        <v>33.790487179507039</v>
      </c>
      <c r="AA50" s="18"/>
      <c r="AB50" s="18">
        <f>'[4]SkM - GC Results (nmol g)'!AB50/1000</f>
        <v>14.159421261557588</v>
      </c>
      <c r="AC50" s="18">
        <f>'[4]SkM - GC Results (nmol g)'!AC50/1000</f>
        <v>17.617975359407883</v>
      </c>
      <c r="AD50" s="18">
        <f>'[4]SkM - GC Results (nmol g)'!AD50/1000</f>
        <v>13.508873036833469</v>
      </c>
      <c r="AE50" s="18"/>
      <c r="AF50" s="18">
        <f>'[4]SkM - GC Results (nmol g)'!AF50/1000</f>
        <v>31.174205707861276</v>
      </c>
      <c r="AG50" s="18">
        <f>'[4]SkM - GC Results (nmol g)'!AG50/1000</f>
        <v>24.04672886046956</v>
      </c>
      <c r="AH50" s="18">
        <f>'[4]SkM - GC Results (nmol g)'!AH50/1000</f>
        <v>11.632362931430483</v>
      </c>
    </row>
    <row r="51" spans="1:34" x14ac:dyDescent="0.2">
      <c r="A51" t="s">
        <v>50</v>
      </c>
      <c r="C51" s="18">
        <f>'[4]SkM - GC Results (nmol g)'!C51/1000</f>
        <v>0</v>
      </c>
      <c r="D51" s="18">
        <f>'[4]SkM - GC Results (nmol g)'!D51/1000</f>
        <v>0</v>
      </c>
      <c r="E51" s="18">
        <f>'[4]SkM - GC Results (nmol g)'!E51/1000</f>
        <v>0</v>
      </c>
      <c r="F51" s="18">
        <f>'[4]SkM - GC Results (nmol g)'!F51/1000</f>
        <v>0</v>
      </c>
      <c r="G51" s="18">
        <f>'[4]SkM - GC Results (nmol g)'!G51/1000</f>
        <v>0</v>
      </c>
      <c r="H51" s="18">
        <f>'[4]SkM - GC Results (nmol g)'!H51/1000</f>
        <v>0</v>
      </c>
      <c r="I51" s="18">
        <f>'[4]SkM - GC Results (nmol g)'!I51/1000</f>
        <v>0</v>
      </c>
      <c r="J51" s="18">
        <f>'[4]SkM - GC Results (nmol g)'!J51/1000</f>
        <v>0</v>
      </c>
      <c r="K51" s="18">
        <f>'[4]SkM - GC Results (nmol g)'!K51/1000</f>
        <v>0</v>
      </c>
      <c r="L51" s="18">
        <f>'[4]SkM - GC Results (nmol g)'!L51/1000</f>
        <v>0</v>
      </c>
      <c r="M51" s="18"/>
      <c r="N51" s="18">
        <f>'[4]SkM - GC Results (nmol g)'!N51/1000</f>
        <v>0</v>
      </c>
      <c r="O51" s="18">
        <f>'[4]SkM - GC Results (nmol g)'!O51/1000</f>
        <v>0</v>
      </c>
      <c r="P51" s="18">
        <f>'[4]SkM - GC Results (nmol g)'!P51/1000</f>
        <v>0</v>
      </c>
      <c r="Q51" s="18">
        <f>'[4]SkM - GC Results (nmol g)'!Q51/1000</f>
        <v>0</v>
      </c>
      <c r="R51" s="18">
        <f>'[4]SkM - GC Results (nmol g)'!R51/1000</f>
        <v>0</v>
      </c>
      <c r="S51" s="18">
        <f>'[4]SkM - GC Results (nmol g)'!S51/1000</f>
        <v>0</v>
      </c>
      <c r="T51" s="18">
        <f>'[4]SkM - GC Results (nmol g)'!T51/1000</f>
        <v>0</v>
      </c>
      <c r="U51" s="18">
        <f>'[4]SkM - GC Results (nmol g)'!U51/1000</f>
        <v>0</v>
      </c>
      <c r="V51" s="18">
        <f>'[4]SkM - GC Results (nmol g)'!V51/1000</f>
        <v>0</v>
      </c>
      <c r="W51" s="18">
        <f>'[4]SkM - GC Results (nmol g)'!W51/1000</f>
        <v>0</v>
      </c>
      <c r="X51" s="18"/>
      <c r="Y51" s="18">
        <f>'[4]SkM - GC Results (nmol g)'!Y51/1000</f>
        <v>0</v>
      </c>
      <c r="Z51" s="18">
        <f>'[4]SkM - GC Results (nmol g)'!Z51/1000</f>
        <v>0</v>
      </c>
      <c r="AA51" s="18"/>
      <c r="AB51" s="18">
        <f>'[4]SkM - GC Results (nmol g)'!AB51/1000</f>
        <v>0</v>
      </c>
      <c r="AC51" s="18">
        <f>'[4]SkM - GC Results (nmol g)'!AC51/1000</f>
        <v>0</v>
      </c>
      <c r="AD51" s="18">
        <f>'[4]SkM - GC Results (nmol g)'!AD51/1000</f>
        <v>0</v>
      </c>
      <c r="AE51" s="18"/>
      <c r="AF51" s="18">
        <f>'[4]SkM - GC Results (nmol g)'!AF51/1000</f>
        <v>0</v>
      </c>
      <c r="AG51" s="18">
        <f>'[4]SkM - GC Results (nmol g)'!AG51/1000</f>
        <v>0</v>
      </c>
      <c r="AH51" s="18">
        <f>'[4]SkM - GC Results (nmol g)'!AH51/1000</f>
        <v>0</v>
      </c>
    </row>
    <row r="52" spans="1:34" x14ac:dyDescent="0.2">
      <c r="A52" t="s">
        <v>37</v>
      </c>
      <c r="C52" s="18">
        <f>'[4]SkM - GC Results (nmol g)'!C52/1000</f>
        <v>28.196648024497687</v>
      </c>
      <c r="D52" s="18">
        <f>'[4]SkM - GC Results (nmol g)'!D52/1000</f>
        <v>14.84909415250732</v>
      </c>
      <c r="E52" s="18">
        <f>'[4]SkM - GC Results (nmol g)'!E52/1000</f>
        <v>17.144886948197168</v>
      </c>
      <c r="F52" s="18">
        <f>'[4]SkM - GC Results (nmol g)'!F52/1000</f>
        <v>9.9070088035858532</v>
      </c>
      <c r="G52" s="18">
        <f>'[4]SkM - GC Results (nmol g)'!G52/1000</f>
        <v>9.5852588406938555</v>
      </c>
      <c r="H52" s="18">
        <f>'[4]SkM - GC Results (nmol g)'!H52/1000</f>
        <v>12.558510225940253</v>
      </c>
      <c r="I52" s="18">
        <f>'[4]SkM - GC Results (nmol g)'!I52/1000</f>
        <v>40.558357155352674</v>
      </c>
      <c r="J52" s="18">
        <f>'[4]SkM - GC Results (nmol g)'!J52/1000</f>
        <v>12.266233013783532</v>
      </c>
      <c r="K52" s="18">
        <f>'[4]SkM - GC Results (nmol g)'!K52/1000</f>
        <v>5.0757029272424443</v>
      </c>
      <c r="L52" s="18">
        <f>'[4]SkM - GC Results (nmol g)'!L52/1000</f>
        <v>19.909934107907578</v>
      </c>
      <c r="M52" s="18"/>
      <c r="N52" s="18">
        <f>'[4]SkM - GC Results (nmol g)'!N52/1000</f>
        <v>8.1370004463935324</v>
      </c>
      <c r="O52" s="18">
        <f>'[4]SkM - GC Results (nmol g)'!O52/1000</f>
        <v>1.5863584297698057</v>
      </c>
      <c r="P52" s="18">
        <f>'[4]SkM - GC Results (nmol g)'!P52/1000</f>
        <v>2.3682119739387351</v>
      </c>
      <c r="Q52" s="18">
        <f>'[4]SkM - GC Results (nmol g)'!Q52/1000</f>
        <v>11.5676602889466</v>
      </c>
      <c r="R52" s="18">
        <f>'[4]SkM - GC Results (nmol g)'!R52/1000</f>
        <v>17.150326097280317</v>
      </c>
      <c r="S52" s="18">
        <f>'[4]SkM - GC Results (nmol g)'!S52/1000</f>
        <v>5.3495861354668017</v>
      </c>
      <c r="T52" s="18">
        <f>'[4]SkM - GC Results (nmol g)'!T52/1000</f>
        <v>10.160511094908793</v>
      </c>
      <c r="U52" s="18">
        <f>'[4]SkM - GC Results (nmol g)'!U52/1000</f>
        <v>13.601968661742674</v>
      </c>
      <c r="V52" s="18">
        <f>'[4]SkM - GC Results (nmol g)'!V52/1000</f>
        <v>5.2609616455610109</v>
      </c>
      <c r="W52" s="18">
        <f>'[4]SkM - GC Results (nmol g)'!W52/1000</f>
        <v>9.3847002648998039</v>
      </c>
      <c r="X52" s="18"/>
      <c r="Y52" s="18">
        <f>'[4]SkM - GC Results (nmol g)'!Y52/1000</f>
        <v>12.997019111659265</v>
      </c>
      <c r="Z52" s="18">
        <f>'[4]SkM - GC Results (nmol g)'!Z52/1000</f>
        <v>10.095936570287654</v>
      </c>
      <c r="AA52" s="18"/>
      <c r="AB52" s="18">
        <f>'[4]SkM - GC Results (nmol g)'!AB52/1000</f>
        <v>6.7612418292296681</v>
      </c>
      <c r="AC52" s="18">
        <f>'[4]SkM - GC Results (nmol g)'!AC52/1000</f>
        <v>3.9787708794346646</v>
      </c>
      <c r="AD52" s="18">
        <f>'[4]SkM - GC Results (nmol g)'!AD52/1000</f>
        <v>4.2789078889260308</v>
      </c>
      <c r="AE52" s="18"/>
      <c r="AF52" s="18">
        <f>'[4]SkM - GC Results (nmol g)'!AF52/1000</f>
        <v>10.476365213493418</v>
      </c>
      <c r="AG52" s="18">
        <f>'[4]SkM - GC Results (nmol g)'!AG52/1000</f>
        <v>7.3531930513184491</v>
      </c>
      <c r="AH52" s="18">
        <f>'[4]SkM - GC Results (nmol g)'!AH52/1000</f>
        <v>5.7011579706614093</v>
      </c>
    </row>
    <row r="53" spans="1:34" x14ac:dyDescent="0.2">
      <c r="A53" t="s">
        <v>38</v>
      </c>
      <c r="C53" s="18">
        <f>'[4]SkM - GC Results (nmol g)'!C53/1000</f>
        <v>300.7238844585529</v>
      </c>
      <c r="D53" s="18">
        <f>'[4]SkM - GC Results (nmol g)'!D53/1000</f>
        <v>154.9813013091493</v>
      </c>
      <c r="E53" s="18">
        <f>'[4]SkM - GC Results (nmol g)'!E53/1000</f>
        <v>176.65725678566218</v>
      </c>
      <c r="F53" s="18">
        <f>'[4]SkM - GC Results (nmol g)'!F53/1000</f>
        <v>88.320896102712268</v>
      </c>
      <c r="G53" s="18">
        <f>'[4]SkM - GC Results (nmol g)'!G53/1000</f>
        <v>97.474304198249641</v>
      </c>
      <c r="H53" s="18">
        <f>'[4]SkM - GC Results (nmol g)'!H53/1000</f>
        <v>144.08099824208355</v>
      </c>
      <c r="I53" s="18">
        <f>'[4]SkM - GC Results (nmol g)'!I53/1000</f>
        <v>405.33462164544147</v>
      </c>
      <c r="J53" s="18">
        <f>'[4]SkM - GC Results (nmol g)'!J53/1000</f>
        <v>145.37203387743506</v>
      </c>
      <c r="K53" s="18">
        <f>'[4]SkM - GC Results (nmol g)'!K53/1000</f>
        <v>49.905213943218321</v>
      </c>
      <c r="L53" s="18">
        <f>'[4]SkM - GC Results (nmol g)'!L53/1000</f>
        <v>206.27893055336196</v>
      </c>
      <c r="M53" s="18"/>
      <c r="N53" s="18">
        <f>'[4]SkM - GC Results (nmol g)'!N53/1000</f>
        <v>108.51801962485661</v>
      </c>
      <c r="O53" s="18">
        <f>'[4]SkM - GC Results (nmol g)'!O53/1000</f>
        <v>17.78554357035506</v>
      </c>
      <c r="P53" s="18">
        <f>'[4]SkM - GC Results (nmol g)'!P53/1000</f>
        <v>24.884440258805167</v>
      </c>
      <c r="Q53" s="18">
        <f>'[4]SkM - GC Results (nmol g)'!Q53/1000</f>
        <v>127.87037672601656</v>
      </c>
      <c r="R53" s="18">
        <f>'[4]SkM - GC Results (nmol g)'!R53/1000</f>
        <v>205.89723967897686</v>
      </c>
      <c r="S53" s="18">
        <f>'[4]SkM - GC Results (nmol g)'!S53/1000</f>
        <v>62.536520764570881</v>
      </c>
      <c r="T53" s="18">
        <f>'[4]SkM - GC Results (nmol g)'!T53/1000</f>
        <v>133.96204678109544</v>
      </c>
      <c r="U53" s="18">
        <f>'[4]SkM - GC Results (nmol g)'!U53/1000</f>
        <v>161.58414381621427</v>
      </c>
      <c r="V53" s="18">
        <f>'[4]SkM - GC Results (nmol g)'!V53/1000</f>
        <v>48.231164995166935</v>
      </c>
      <c r="W53" s="18">
        <f>'[4]SkM - GC Results (nmol g)'!W53/1000</f>
        <v>92.347720407791613</v>
      </c>
      <c r="X53" s="18"/>
      <c r="Y53" s="18">
        <f>'[4]SkM - GC Results (nmol g)'!Y53/1000</f>
        <v>182.7949874611719</v>
      </c>
      <c r="Z53" s="18">
        <f>'[4]SkM - GC Results (nmol g)'!Z53/1000</f>
        <v>157.69525943292018</v>
      </c>
      <c r="AA53" s="18"/>
      <c r="AB53" s="18">
        <f>'[4]SkM - GC Results (nmol g)'!AB53/1000</f>
        <v>74.848158160493369</v>
      </c>
      <c r="AC53" s="18">
        <f>'[4]SkM - GC Results (nmol g)'!AC53/1000</f>
        <v>63.816999086677264</v>
      </c>
      <c r="AD53" s="18">
        <f>'[4]SkM - GC Results (nmol g)'!AD53/1000</f>
        <v>54.480608732024592</v>
      </c>
      <c r="AE53" s="18"/>
      <c r="AF53" s="18">
        <f>'[4]SkM - GC Results (nmol g)'!AF53/1000</f>
        <v>138.59934796037467</v>
      </c>
      <c r="AG53" s="18">
        <f>'[4]SkM - GC Results (nmol g)'!AG53/1000</f>
        <v>114.90400998557905</v>
      </c>
      <c r="AH53" s="18">
        <f>'[4]SkM - GC Results (nmol g)'!AH53/1000</f>
        <v>68.09085883439694</v>
      </c>
    </row>
    <row r="54" spans="1:34" x14ac:dyDescent="0.2">
      <c r="A54" t="s">
        <v>39</v>
      </c>
      <c r="C54" s="18">
        <f>'[4]SkM - GC Results (nmol g)'!C54/1000</f>
        <v>115.50489489543476</v>
      </c>
      <c r="D54" s="18">
        <f>'[4]SkM - GC Results (nmol g)'!D54/1000</f>
        <v>65.897656562294756</v>
      </c>
      <c r="E54" s="18">
        <f>'[4]SkM - GC Results (nmol g)'!E54/1000</f>
        <v>75.959588414089737</v>
      </c>
      <c r="F54" s="18">
        <f>'[4]SkM - GC Results (nmol g)'!F54/1000</f>
        <v>37.025063887793515</v>
      </c>
      <c r="G54" s="18">
        <f>'[4]SkM - GC Results (nmol g)'!G54/1000</f>
        <v>39.288723610662103</v>
      </c>
      <c r="H54" s="18">
        <f>'[4]SkM - GC Results (nmol g)'!H54/1000</f>
        <v>60.410661701074815</v>
      </c>
      <c r="I54" s="18">
        <f>'[4]SkM - GC Results (nmol g)'!I54/1000</f>
        <v>159.40544948174616</v>
      </c>
      <c r="J54" s="18">
        <f>'[4]SkM - GC Results (nmol g)'!J54/1000</f>
        <v>56.277335942836181</v>
      </c>
      <c r="K54" s="18">
        <f>'[4]SkM - GC Results (nmol g)'!K54/1000</f>
        <v>19.911517920676438</v>
      </c>
      <c r="L54" s="18">
        <f>'[4]SkM - GC Results (nmol g)'!L54/1000</f>
        <v>84.717635732343695</v>
      </c>
      <c r="M54" s="18"/>
      <c r="N54" s="18">
        <f>'[4]SkM - GC Results (nmol g)'!N54/1000</f>
        <v>42.437971889154191</v>
      </c>
      <c r="O54" s="18">
        <f>'[4]SkM - GC Results (nmol g)'!O54/1000</f>
        <v>6.9810278162177548</v>
      </c>
      <c r="P54" s="18">
        <f>'[4]SkM - GC Results (nmol g)'!P54/1000</f>
        <v>9.643634167904235</v>
      </c>
      <c r="Q54" s="18">
        <f>'[4]SkM - GC Results (nmol g)'!Q54/1000</f>
        <v>50.347505833103604</v>
      </c>
      <c r="R54" s="18">
        <f>'[4]SkM - GC Results (nmol g)'!R54/1000</f>
        <v>81.869645750482448</v>
      </c>
      <c r="S54" s="18">
        <f>'[4]SkM - GC Results (nmol g)'!S54/1000</f>
        <v>25.470174251658136</v>
      </c>
      <c r="T54" s="18">
        <f>'[4]SkM - GC Results (nmol g)'!T54/1000</f>
        <v>54.268926791400482</v>
      </c>
      <c r="U54" s="18">
        <f>'[4]SkM - GC Results (nmol g)'!U54/1000</f>
        <v>64.24054458392375</v>
      </c>
      <c r="V54" s="18">
        <f>'[4]SkM - GC Results (nmol g)'!V54/1000</f>
        <v>19.960687850982737</v>
      </c>
      <c r="W54" s="18">
        <f>'[4]SkM - GC Results (nmol g)'!W54/1000</f>
        <v>39.107005143228179</v>
      </c>
      <c r="X54" s="18"/>
      <c r="Y54" s="18">
        <f>'[4]SkM - GC Results (nmol g)'!Y54/1000</f>
        <v>69.742349533510762</v>
      </c>
      <c r="Z54" s="18">
        <f>'[4]SkM - GC Results (nmol g)'!Z54/1000</f>
        <v>61.549514610402696</v>
      </c>
      <c r="AA54" s="18"/>
      <c r="AB54" s="18">
        <f>'[4]SkM - GC Results (nmol g)'!AB54/1000</f>
        <v>30.955861307578779</v>
      </c>
      <c r="AC54" s="18">
        <f>'[4]SkM - GC Results (nmol g)'!AC54/1000</f>
        <v>25.84278903402441</v>
      </c>
      <c r="AD54" s="18">
        <f>'[4]SkM - GC Results (nmol g)'!AD54/1000</f>
        <v>22.435007246204261</v>
      </c>
      <c r="AE54" s="18"/>
      <c r="AF54" s="18">
        <f>'[4]SkM - GC Results (nmol g)'!AF54/1000</f>
        <v>54.948939527593083</v>
      </c>
      <c r="AG54" s="18">
        <f>'[4]SkM - GC Results (nmol g)'!AG54/1000</f>
        <v>41.881949103290601</v>
      </c>
      <c r="AH54" s="18">
        <f>'[4]SkM - GC Results (nmol g)'!AH54/1000</f>
        <v>27.989572187428184</v>
      </c>
    </row>
    <row r="55" spans="1:34" x14ac:dyDescent="0.2">
      <c r="A55" t="s">
        <v>40</v>
      </c>
      <c r="C55" s="18">
        <f>'[4]SkM - GC Results (nmol g)'!C55/1000</f>
        <v>0.25886217931208366</v>
      </c>
      <c r="D55" s="18">
        <f>'[4]SkM - GC Results (nmol g)'!D55/1000</f>
        <v>0.11913531352393038</v>
      </c>
      <c r="E55" s="18">
        <f>'[4]SkM - GC Results (nmol g)'!E55/1000</f>
        <v>0.13069598987177725</v>
      </c>
      <c r="F55" s="18">
        <f>'[4]SkM - GC Results (nmol g)'!F55/1000</f>
        <v>7.8184757530118998E-2</v>
      </c>
      <c r="G55" s="18">
        <f>'[4]SkM - GC Results (nmol g)'!G55/1000</f>
        <v>9.8751374284419019E-2</v>
      </c>
      <c r="H55" s="18">
        <f>'[4]SkM - GC Results (nmol g)'!H55/1000</f>
        <v>9.4986513580949131E-2</v>
      </c>
      <c r="I55" s="18">
        <f>'[4]SkM - GC Results (nmol g)'!I55/1000</f>
        <v>0.31700769781636412</v>
      </c>
      <c r="J55" s="18">
        <f>'[4]SkM - GC Results (nmol g)'!J55/1000</f>
        <v>9.0531707396965408E-2</v>
      </c>
      <c r="K55" s="18">
        <f>'[4]SkM - GC Results (nmol g)'!K55/1000</f>
        <v>5.2269421190462517E-2</v>
      </c>
      <c r="L55" s="18">
        <f>'[4]SkM - GC Results (nmol g)'!L55/1000</f>
        <v>0.15520805649638386</v>
      </c>
      <c r="M55" s="18"/>
      <c r="N55" s="18">
        <f>'[4]SkM - GC Results (nmol g)'!N55/1000</f>
        <v>9.4658673742561469E-2</v>
      </c>
      <c r="O55" s="18">
        <f>'[4]SkM - GC Results (nmol g)'!O55/1000</f>
        <v>2.7855036488604972E-2</v>
      </c>
      <c r="P55" s="18">
        <f>'[4]SkM - GC Results (nmol g)'!P55/1000</f>
        <v>3.8853817215891824E-2</v>
      </c>
      <c r="Q55" s="18">
        <f>'[4]SkM - GC Results (nmol g)'!Q55/1000</f>
        <v>0.12021682993079985</v>
      </c>
      <c r="R55" s="18">
        <f>'[4]SkM - GC Results (nmol g)'!R55/1000</f>
        <v>0.17403589832066338</v>
      </c>
      <c r="S55" s="18">
        <f>'[4]SkM - GC Results (nmol g)'!S55/1000</f>
        <v>6.158929011220908E-2</v>
      </c>
      <c r="T55" s="18">
        <f>'[4]SkM - GC Results (nmol g)'!T55/1000</f>
        <v>9.9722917690331939E-2</v>
      </c>
      <c r="U55" s="18">
        <f>'[4]SkM - GC Results (nmol g)'!U55/1000</f>
        <v>0.13928617712907773</v>
      </c>
      <c r="V55" s="18">
        <f>'[4]SkM - GC Results (nmol g)'!V55/1000</f>
        <v>7.9569633771125442E-2</v>
      </c>
      <c r="W55" s="18">
        <f>'[4]SkM - GC Results (nmol g)'!W55/1000</f>
        <v>9.4618159035501789E-2</v>
      </c>
      <c r="X55" s="18"/>
      <c r="Y55" s="18">
        <f>'[4]SkM - GC Results (nmol g)'!Y55/1000</f>
        <v>0.15578937012540264</v>
      </c>
      <c r="Z55" s="18">
        <f>'[4]SkM - GC Results (nmol g)'!Z55/1000</f>
        <v>9.8156283837357625E-2</v>
      </c>
      <c r="AA55" s="18"/>
      <c r="AB55" s="18">
        <f>'[4]SkM - GC Results (nmol g)'!AB55/1000</f>
        <v>6.6220021904717166E-2</v>
      </c>
      <c r="AC55" s="18">
        <f>'[4]SkM - GC Results (nmol g)'!AC55/1000</f>
        <v>4.4517951819844109E-2</v>
      </c>
      <c r="AD55" s="18">
        <f>'[4]SkM - GC Results (nmol g)'!AD55/1000</f>
        <v>5.7087345148733065E-2</v>
      </c>
      <c r="AE55" s="18"/>
      <c r="AF55" s="18">
        <f>'[4]SkM - GC Results (nmol g)'!AF55/1000</f>
        <v>9.7968695279899348E-2</v>
      </c>
      <c r="AG55" s="18">
        <f>'[4]SkM - GC Results (nmol g)'!AG55/1000</f>
        <v>7.4334726516250435E-2</v>
      </c>
      <c r="AH55" s="18">
        <f>'[4]SkM - GC Results (nmol g)'!AH55/1000</f>
        <v>6.5918308432029601E-2</v>
      </c>
    </row>
    <row r="56" spans="1:34" x14ac:dyDescent="0.2">
      <c r="A56" t="s">
        <v>41</v>
      </c>
      <c r="C56" s="18">
        <f>'[4]SkM - GC Results (nmol g)'!C56/1000</f>
        <v>6.2404389393781825</v>
      </c>
      <c r="D56" s="18">
        <f>'[4]SkM - GC Results (nmol g)'!D56/1000</f>
        <v>4.0953914841040406</v>
      </c>
      <c r="E56" s="18">
        <f>'[4]SkM - GC Results (nmol g)'!E56/1000</f>
        <v>4.8963070334322971</v>
      </c>
      <c r="F56" s="18">
        <f>'[4]SkM - GC Results (nmol g)'!F56/1000</f>
        <v>2.3515750180654567</v>
      </c>
      <c r="G56" s="18">
        <f>'[4]SkM - GC Results (nmol g)'!G56/1000</f>
        <v>2.3364106374583309</v>
      </c>
      <c r="H56" s="18">
        <f>'[4]SkM - GC Results (nmol g)'!H56/1000</f>
        <v>3.6364807016719007</v>
      </c>
      <c r="I56" s="18">
        <f>'[4]SkM - GC Results (nmol g)'!I56/1000</f>
        <v>8.2310151063777717</v>
      </c>
      <c r="J56" s="18">
        <f>'[4]SkM - GC Results (nmol g)'!J56/1000</f>
        <v>3.4379512150826237</v>
      </c>
      <c r="K56" s="18">
        <f>'[4]SkM - GC Results (nmol g)'!K56/1000</f>
        <v>1.1676612007300573</v>
      </c>
      <c r="L56" s="18">
        <f>'[4]SkM - GC Results (nmol g)'!L56/1000</f>
        <v>5.1637434089494505</v>
      </c>
      <c r="M56" s="18"/>
      <c r="N56" s="18">
        <f>'[4]SkM - GC Results (nmol g)'!N56/1000</f>
        <v>2.4724377460179894</v>
      </c>
      <c r="O56" s="18">
        <f>'[4]SkM - GC Results (nmol g)'!O56/1000</f>
        <v>0.41999262638186574</v>
      </c>
      <c r="P56" s="18">
        <f>'[4]SkM - GC Results (nmol g)'!P56/1000</f>
        <v>0.54686591101823068</v>
      </c>
      <c r="Q56" s="18">
        <f>'[4]SkM - GC Results (nmol g)'!Q56/1000</f>
        <v>2.7239041781864524</v>
      </c>
      <c r="R56" s="18">
        <f>'[4]SkM - GC Results (nmol g)'!R56/1000</f>
        <v>4.6327178219499938</v>
      </c>
      <c r="S56" s="18">
        <f>'[4]SkM - GC Results (nmol g)'!S56/1000</f>
        <v>1.3023144012603363</v>
      </c>
      <c r="T56" s="18">
        <f>'[4]SkM - GC Results (nmol g)'!T56/1000</f>
        <v>3.2219489491983624</v>
      </c>
      <c r="U56" s="18">
        <f>'[4]SkM - GC Results (nmol g)'!U56/1000</f>
        <v>3.3615713198614077</v>
      </c>
      <c r="V56" s="18">
        <f>'[4]SkM - GC Results (nmol g)'!V56/1000</f>
        <v>1.0755519642818991</v>
      </c>
      <c r="W56" s="18">
        <f>'[4]SkM - GC Results (nmol g)'!W56/1000</f>
        <v>2.251050171274211</v>
      </c>
      <c r="X56" s="18"/>
      <c r="Y56" s="18">
        <f>'[4]SkM - GC Results (nmol g)'!Y56/1000</f>
        <v>3.9180943292911157</v>
      </c>
      <c r="Z56" s="18">
        <f>'[4]SkM - GC Results (nmol g)'!Z56/1000</f>
        <v>3.12510363031598</v>
      </c>
      <c r="AA56" s="18"/>
      <c r="AB56" s="18">
        <f>'[4]SkM - GC Results (nmol g)'!AB56/1000</f>
        <v>1.9203730084338921</v>
      </c>
      <c r="AC56" s="18">
        <f>'[4]SkM - GC Results (nmol g)'!AC56/1000</f>
        <v>1.4897723940294523</v>
      </c>
      <c r="AD56" s="18">
        <f>'[4]SkM - GC Results (nmol g)'!AD56/1000</f>
        <v>1.4409449491430415</v>
      </c>
      <c r="AE56" s="18"/>
      <c r="AF56" s="18">
        <f>'[4]SkM - GC Results (nmol g)'!AF56/1000</f>
        <v>3.3411704706846206</v>
      </c>
      <c r="AG56" s="18">
        <f>'[4]SkM - GC Results (nmol g)'!AG56/1000</f>
        <v>2.0824157693589251</v>
      </c>
      <c r="AH56" s="18">
        <f>'[4]SkM - GC Results (nmol g)'!AH56/1000</f>
        <v>1.6711995897729948</v>
      </c>
    </row>
    <row r="57" spans="1:34" x14ac:dyDescent="0.2">
      <c r="A57" t="s">
        <v>42</v>
      </c>
      <c r="C57" s="18">
        <f>'[4]SkM - GC Results (nmol g)'!C57/1000</f>
        <v>4.7075973087063822E-2</v>
      </c>
      <c r="D57" s="18">
        <f>'[4]SkM - GC Results (nmol g)'!D57/1000</f>
        <v>2.4818183429011216E-2</v>
      </c>
      <c r="E57" s="18">
        <f>'[4]SkM - GC Results (nmol g)'!E57/1000</f>
        <v>1.9080653830583504E-2</v>
      </c>
      <c r="F57" s="18">
        <f>'[4]SkM - GC Results (nmol g)'!F57/1000</f>
        <v>2.5401791126714909E-2</v>
      </c>
      <c r="G57" s="18">
        <f>'[4]SkM - GC Results (nmol g)'!G57/1000</f>
        <v>2.2596643751589172E-2</v>
      </c>
      <c r="H57" s="18">
        <f>'[4]SkM - GC Results (nmol g)'!H57/1000</f>
        <v>1.3373496968205245E-2</v>
      </c>
      <c r="I57" s="18">
        <f>'[4]SkM - GC Results (nmol g)'!I57/1000</f>
        <v>2.7480045442226694E-2</v>
      </c>
      <c r="J57" s="18">
        <f>'[4]SkM - GC Results (nmol g)'!J57/1000</f>
        <v>3.2087141479086437E-2</v>
      </c>
      <c r="K57" s="18">
        <f>'[4]SkM - GC Results (nmol g)'!K57/1000</f>
        <v>1.9836100380224979E-2</v>
      </c>
      <c r="L57" s="18">
        <f>'[4]SkM - GC Results (nmol g)'!L57/1000</f>
        <v>3.4508316339448564E-2</v>
      </c>
      <c r="M57" s="18"/>
      <c r="N57" s="18">
        <f>'[4]SkM - GC Results (nmol g)'!N57/1000</f>
        <v>4.115289224054279E-2</v>
      </c>
      <c r="O57" s="18">
        <f>'[4]SkM - GC Results (nmol g)'!O57/1000</f>
        <v>3.0231052037546401E-2</v>
      </c>
      <c r="P57" s="18">
        <f>'[4]SkM - GC Results (nmol g)'!P57/1000</f>
        <v>1.4871064664544171E-2</v>
      </c>
      <c r="Q57" s="18">
        <f>'[4]SkM - GC Results (nmol g)'!Q57/1000</f>
        <v>3.1680336864237484E-2</v>
      </c>
      <c r="R57" s="18">
        <f>'[4]SkM - GC Results (nmol g)'!R57/1000</f>
        <v>3.1401708476637188E-2</v>
      </c>
      <c r="S57" s="18">
        <f>'[4]SkM - GC Results (nmol g)'!S57/1000</f>
        <v>1.5653640818829744E-2</v>
      </c>
      <c r="T57" s="18">
        <f>'[4]SkM - GC Results (nmol g)'!T57/1000</f>
        <v>1.8839077209426205E-2</v>
      </c>
      <c r="U57" s="18">
        <f>'[4]SkM - GC Results (nmol g)'!U57/1000</f>
        <v>2.206901258292283E-2</v>
      </c>
      <c r="V57" s="18">
        <f>'[4]SkM - GC Results (nmol g)'!V57/1000</f>
        <v>1.4085126040450573E-2</v>
      </c>
      <c r="W57" s="18">
        <f>'[4]SkM - GC Results (nmol g)'!W57/1000</f>
        <v>1.4143794180370801E-2</v>
      </c>
      <c r="X57" s="18"/>
      <c r="Y57" s="18">
        <f>'[4]SkM - GC Results (nmol g)'!Y57/1000</f>
        <v>2.6116236263797811E-2</v>
      </c>
      <c r="Z57" s="18">
        <f>'[4]SkM - GC Results (nmol g)'!Z57/1000</f>
        <v>2.8242573909274853E-2</v>
      </c>
      <c r="AA57" s="18"/>
      <c r="AB57" s="18">
        <f>'[4]SkM - GC Results (nmol g)'!AB57/1000</f>
        <v>1.5090293148917787E-2</v>
      </c>
      <c r="AC57" s="18">
        <f>'[4]SkM - GC Results (nmol g)'!AC57/1000</f>
        <v>1.5906280582183231E-2</v>
      </c>
      <c r="AD57" s="18">
        <f>'[4]SkM - GC Results (nmol g)'!AD57/1000</f>
        <v>4.6954548694469099E-2</v>
      </c>
      <c r="AE57" s="18"/>
      <c r="AF57" s="18">
        <f>'[4]SkM - GC Results (nmol g)'!AF57/1000</f>
        <v>2.1816557407309974E-2</v>
      </c>
      <c r="AG57" s="18">
        <f>'[4]SkM - GC Results (nmol g)'!AG57/1000</f>
        <v>1.0748993909939454E-2</v>
      </c>
      <c r="AH57" s="18">
        <f>'[4]SkM - GC Results (nmol g)'!AH57/1000</f>
        <v>1.7694020301691375E-2</v>
      </c>
    </row>
    <row r="58" spans="1:34" x14ac:dyDescent="0.2">
      <c r="A58" t="s">
        <v>43</v>
      </c>
      <c r="C58" s="18">
        <f>'[4]SkM - GC Results (nmol g)'!C58/1000</f>
        <v>1.9608676875632531</v>
      </c>
      <c r="D58" s="18">
        <f>'[4]SkM - GC Results (nmol g)'!D58/1000</f>
        <v>1.3303795353179142</v>
      </c>
      <c r="E58" s="18">
        <f>'[4]SkM - GC Results (nmol g)'!E58/1000</f>
        <v>1.5432867970326198</v>
      </c>
      <c r="F58" s="18">
        <f>'[4]SkM - GC Results (nmol g)'!F58/1000</f>
        <v>0.92592536874897857</v>
      </c>
      <c r="G58" s="18">
        <f>'[4]SkM - GC Results (nmol g)'!G58/1000</f>
        <v>0.95262111565638397</v>
      </c>
      <c r="H58" s="18">
        <f>'[4]SkM - GC Results (nmol g)'!H58/1000</f>
        <v>1.372815466785503</v>
      </c>
      <c r="I58" s="18">
        <f>'[4]SkM - GC Results (nmol g)'!I58/1000</f>
        <v>2.2863705452092717</v>
      </c>
      <c r="J58" s="18">
        <f>'[4]SkM - GC Results (nmol g)'!J58/1000</f>
        <v>1.4768203656321335</v>
      </c>
      <c r="K58" s="18">
        <f>'[4]SkM - GC Results (nmol g)'!K58/1000</f>
        <v>0.51915802030439084</v>
      </c>
      <c r="L58" s="18">
        <f>'[4]SkM - GC Results (nmol g)'!L58/1000</f>
        <v>1.7153843104448219</v>
      </c>
      <c r="M58" s="18"/>
      <c r="N58" s="18">
        <f>'[4]SkM - GC Results (nmol g)'!N58/1000</f>
        <v>0.73718573580256641</v>
      </c>
      <c r="O58" s="18">
        <f>'[4]SkM - GC Results (nmol g)'!O58/1000</f>
        <v>0.16724683385031694</v>
      </c>
      <c r="P58" s="18">
        <f>'[4]SkM - GC Results (nmol g)'!P58/1000</f>
        <v>0.2067693927000408</v>
      </c>
      <c r="Q58" s="18">
        <f>'[4]SkM - GC Results (nmol g)'!Q58/1000</f>
        <v>0.90613634670056697</v>
      </c>
      <c r="R58" s="18">
        <f>'[4]SkM - GC Results (nmol g)'!R58/1000</f>
        <v>1.1770165712079321</v>
      </c>
      <c r="S58" s="18">
        <f>'[4]SkM - GC Results (nmol g)'!S58/1000</f>
        <v>0.37746307123863748</v>
      </c>
      <c r="T58" s="18">
        <f>'[4]SkM - GC Results (nmol g)'!T58/1000</f>
        <v>0.9056821223644258</v>
      </c>
      <c r="U58" s="18">
        <f>'[4]SkM - GC Results (nmol g)'!U58/1000</f>
        <v>0.80784554334846259</v>
      </c>
      <c r="V58" s="18">
        <f>'[4]SkM - GC Results (nmol g)'!V58/1000</f>
        <v>0.35951625917686275</v>
      </c>
      <c r="W58" s="18">
        <f>'[4]SkM - GC Results (nmol g)'!W58/1000</f>
        <v>0.59120647819370942</v>
      </c>
      <c r="X58" s="18"/>
      <c r="Y58" s="18">
        <f>'[4]SkM - GC Results (nmol g)'!Y58/1000</f>
        <v>1.1788679286600483</v>
      </c>
      <c r="Z58" s="18">
        <f>'[4]SkM - GC Results (nmol g)'!Z58/1000</f>
        <v>0.9626261384737913</v>
      </c>
      <c r="AA58" s="18"/>
      <c r="AB58" s="18">
        <f>'[4]SkM - GC Results (nmol g)'!AB58/1000</f>
        <v>0.67655433878564331</v>
      </c>
      <c r="AC58" s="18">
        <f>'[4]SkM - GC Results (nmol g)'!AC58/1000</f>
        <v>0.55921656180008184</v>
      </c>
      <c r="AD58" s="18">
        <f>'[4]SkM - GC Results (nmol g)'!AD58/1000</f>
        <v>0.49430848545978179</v>
      </c>
      <c r="AE58" s="18"/>
      <c r="AF58" s="18">
        <f>'[4]SkM - GC Results (nmol g)'!AF58/1000</f>
        <v>1.1287326694943549</v>
      </c>
      <c r="AG58" s="18">
        <f>'[4]SkM - GC Results (nmol g)'!AG58/1000</f>
        <v>0.67453535896650829</v>
      </c>
      <c r="AH58" s="18">
        <f>'[4]SkM - GC Results (nmol g)'!AH58/1000</f>
        <v>0.45806905683614185</v>
      </c>
    </row>
    <row r="59" spans="1:34" x14ac:dyDescent="0.2">
      <c r="A59" t="s">
        <v>44</v>
      </c>
      <c r="C59" s="18">
        <f>'[4]SkM - GC Results (nmol g)'!C59/1000</f>
        <v>5.0737577941139422E-2</v>
      </c>
      <c r="D59" s="18">
        <f>'[4]SkM - GC Results (nmol g)'!D59/1000</f>
        <v>1.56849160608062E-2</v>
      </c>
      <c r="E59" s="18">
        <f>'[4]SkM - GC Results (nmol g)'!E59/1000</f>
        <v>1.6242647300020639E-2</v>
      </c>
      <c r="F59" s="18">
        <f>'[4]SkM - GC Results (nmol g)'!F59/1000</f>
        <v>2.239701872223027E-2</v>
      </c>
      <c r="G59" s="18">
        <f>'[4]SkM - GC Results (nmol g)'!G59/1000</f>
        <v>2.0487917270616881E-2</v>
      </c>
      <c r="H59" s="18">
        <f>'[4]SkM - GC Results (nmol g)'!H59/1000</f>
        <v>2.0692034593448171E-2</v>
      </c>
      <c r="I59" s="18">
        <f>'[4]SkM - GC Results (nmol g)'!I59/1000</f>
        <v>3.5501225746565362E-2</v>
      </c>
      <c r="J59" s="18">
        <f>'[4]SkM - GC Results (nmol g)'!J59/1000</f>
        <v>7.9670992442230137E-2</v>
      </c>
      <c r="K59" s="18">
        <f>'[4]SkM - GC Results (nmol g)'!K59/1000</f>
        <v>5.2047737085041811E-2</v>
      </c>
      <c r="L59" s="18">
        <f>'[4]SkM - GC Results (nmol g)'!L59/1000</f>
        <v>4.8030381332699545E-2</v>
      </c>
      <c r="M59" s="18"/>
      <c r="N59" s="18">
        <f>'[4]SkM - GC Results (nmol g)'!N59/1000</f>
        <v>3.4373910510375888E-2</v>
      </c>
      <c r="O59" s="18">
        <f>'[4]SkM - GC Results (nmol g)'!O59/1000</f>
        <v>3.7869904014305331E-2</v>
      </c>
      <c r="P59" s="18">
        <f>'[4]SkM - GC Results (nmol g)'!P59/1000</f>
        <v>1.7890004769213867E-2</v>
      </c>
      <c r="Q59" s="18">
        <f>'[4]SkM - GC Results (nmol g)'!Q59/1000</f>
        <v>0.10895559283769481</v>
      </c>
      <c r="R59" s="18">
        <f>'[4]SkM - GC Results (nmol g)'!R59/1000</f>
        <v>3.6263985712113853E-2</v>
      </c>
      <c r="S59" s="18">
        <f>'[4]SkM - GC Results (nmol g)'!S59/1000</f>
        <v>3.8261043576688532E-2</v>
      </c>
      <c r="T59" s="18">
        <f>'[4]SkM - GC Results (nmol g)'!T59/1000</f>
        <v>5.768856266028094E-2</v>
      </c>
      <c r="U59" s="18">
        <f>'[4]SkM - GC Results (nmol g)'!U59/1000</f>
        <v>3.2701459189977973E-2</v>
      </c>
      <c r="V59" s="18">
        <f>'[4]SkM - GC Results (nmol g)'!V59/1000</f>
        <v>3.8429527505351578E-2</v>
      </c>
      <c r="W59" s="18">
        <f>'[4]SkM - GC Results (nmol g)'!W59/1000</f>
        <v>3.8226593822856751E-2</v>
      </c>
      <c r="X59" s="18"/>
      <c r="Y59" s="18">
        <f>'[4]SkM - GC Results (nmol g)'!Y59/1000</f>
        <v>4.7383101524441293E-2</v>
      </c>
      <c r="Z59" s="18">
        <f>'[4]SkM - GC Results (nmol g)'!Z59/1000</f>
        <v>4.0142119122495018E-2</v>
      </c>
      <c r="AA59" s="18"/>
      <c r="AB59" s="18">
        <f>'[4]SkM - GC Results (nmol g)'!AB59/1000</f>
        <v>4.4075836910176178E-2</v>
      </c>
      <c r="AC59" s="18">
        <f>'[4]SkM - GC Results (nmol g)'!AC59/1000</f>
        <v>5.5221953150428493E-2</v>
      </c>
      <c r="AD59" s="18">
        <f>'[4]SkM - GC Results (nmol g)'!AD59/1000</f>
        <v>4.5510200770387282E-2</v>
      </c>
      <c r="AE59" s="18"/>
      <c r="AF59" s="18">
        <f>'[4]SkM - GC Results (nmol g)'!AF59/1000</f>
        <v>4.6974625340750885E-2</v>
      </c>
      <c r="AG59" s="18">
        <f>'[4]SkM - GC Results (nmol g)'!AG59/1000</f>
        <v>3.8980776018587696E-2</v>
      </c>
      <c r="AH59" s="18">
        <f>'[4]SkM - GC Results (nmol g)'!AH59/1000</f>
        <v>3.6401285575073682E-2</v>
      </c>
    </row>
    <row r="60" spans="1:34" x14ac:dyDescent="0.2">
      <c r="A60" t="s">
        <v>45</v>
      </c>
      <c r="C60" s="18">
        <f>'[4]SkM - GC Results (nmol g)'!C60/1000</f>
        <v>0.16290336836502547</v>
      </c>
      <c r="D60" s="18">
        <f>'[4]SkM - GC Results (nmol g)'!D60/1000</f>
        <v>0.10407845938946036</v>
      </c>
      <c r="E60" s="18">
        <f>'[4]SkM - GC Results (nmol g)'!E60/1000</f>
        <v>0.13105841062648349</v>
      </c>
      <c r="F60" s="18">
        <f>'[4]SkM - GC Results (nmol g)'!F60/1000</f>
        <v>4.6711037308273438E-2</v>
      </c>
      <c r="G60" s="18">
        <f>'[4]SkM - GC Results (nmol g)'!G60/1000</f>
        <v>0.13488725153224682</v>
      </c>
      <c r="H60" s="18">
        <f>'[4]SkM - GC Results (nmol g)'!H60/1000</f>
        <v>9.1751523881774724E-2</v>
      </c>
      <c r="I60" s="18">
        <f>'[4]SkM - GC Results (nmol g)'!I60/1000</f>
        <v>0.50818871413058009</v>
      </c>
      <c r="J60" s="18">
        <f>'[4]SkM - GC Results (nmol g)'!J60/1000</f>
        <v>5.9458507902135561E-2</v>
      </c>
      <c r="K60" s="18">
        <f>'[4]SkM - GC Results (nmol g)'!K60/1000</f>
        <v>4.7272093803638109E-2</v>
      </c>
      <c r="L60" s="18">
        <f>'[4]SkM - GC Results (nmol g)'!L60/1000</f>
        <v>0.13676645286013231</v>
      </c>
      <c r="M60" s="18"/>
      <c r="N60" s="18">
        <f>'[4]SkM - GC Results (nmol g)'!N60/1000</f>
        <v>6.0956216896069539E-2</v>
      </c>
      <c r="O60" s="18">
        <f>'[4]SkM - GC Results (nmol g)'!O60/1000</f>
        <v>2.1291447490993803E-2</v>
      </c>
      <c r="P60" s="18">
        <f>'[4]SkM - GC Results (nmol g)'!P60/1000</f>
        <v>1.5940903275424963E-2</v>
      </c>
      <c r="Q60" s="18">
        <f>'[4]SkM - GC Results (nmol g)'!Q60/1000</f>
        <v>6.8739954428696057E-2</v>
      </c>
      <c r="R60" s="18">
        <f>'[4]SkM - GC Results (nmol g)'!R60/1000</f>
        <v>8.6140963738365203E-2</v>
      </c>
      <c r="S60" s="18">
        <f>'[4]SkM - GC Results (nmol g)'!S60/1000</f>
        <v>2.8965871262486734E-2</v>
      </c>
      <c r="T60" s="18">
        <f>'[4]SkM - GC Results (nmol g)'!T60/1000</f>
        <v>7.0181389121902138E-2</v>
      </c>
      <c r="U60" s="18">
        <f>'[4]SkM - GC Results (nmol g)'!U60/1000</f>
        <v>6.1160111202154074E-2</v>
      </c>
      <c r="V60" s="18">
        <f>'[4]SkM - GC Results (nmol g)'!V60/1000</f>
        <v>3.3330411144441428E-2</v>
      </c>
      <c r="W60" s="18">
        <f>'[4]SkM - GC Results (nmol g)'!W60/1000</f>
        <v>4.4254138203638695E-2</v>
      </c>
      <c r="X60" s="18"/>
      <c r="Y60" s="18">
        <f>'[4]SkM - GC Results (nmol g)'!Y60/1000</f>
        <v>6.1178213819319767E-2</v>
      </c>
      <c r="Z60" s="18">
        <f>'[4]SkM - GC Results (nmol g)'!Z60/1000</f>
        <v>5.1150927499473794E-2</v>
      </c>
      <c r="AA60" s="18"/>
      <c r="AB60" s="18">
        <f>'[4]SkM - GC Results (nmol g)'!AB60/1000</f>
        <v>5.140732400182068E-2</v>
      </c>
      <c r="AC60" s="18">
        <f>'[4]SkM - GC Results (nmol g)'!AC60/1000</f>
        <v>3.4620189243772727E-2</v>
      </c>
      <c r="AD60" s="18">
        <f>'[4]SkM - GC Results (nmol g)'!AD60/1000</f>
        <v>3.753402320111919E-2</v>
      </c>
      <c r="AE60" s="18"/>
      <c r="AF60" s="18">
        <f>'[4]SkM - GC Results (nmol g)'!AF60/1000</f>
        <v>8.2200221878217572E-2</v>
      </c>
      <c r="AG60" s="18">
        <f>'[4]SkM - GC Results (nmol g)'!AG60/1000</f>
        <v>3.6553918946096824E-2</v>
      </c>
      <c r="AH60" s="18">
        <f>'[4]SkM - GC Results (nmol g)'!AH60/1000</f>
        <v>3.899571694953332E-2</v>
      </c>
    </row>
    <row r="61" spans="1:34" x14ac:dyDescent="0.2">
      <c r="A61" t="s">
        <v>46</v>
      </c>
      <c r="C61" s="18">
        <f>'[4]SkM - GC Results (nmol g)'!C61/1000</f>
        <v>3.6301472492451123E-2</v>
      </c>
      <c r="D61" s="18">
        <f>'[4]SkM - GC Results (nmol g)'!D61/1000</f>
        <v>1.4074227558024994E-2</v>
      </c>
      <c r="E61" s="18">
        <f>'[4]SkM - GC Results (nmol g)'!E61/1000</f>
        <v>1.6689543093365834E-2</v>
      </c>
      <c r="F61" s="18">
        <f>'[4]SkM - GC Results (nmol g)'!F61/1000</f>
        <v>1.2487596621912195E-2</v>
      </c>
      <c r="G61" s="18">
        <f>'[4]SkM - GC Results (nmol g)'!G61/1000</f>
        <v>2.1400801550918388E-2</v>
      </c>
      <c r="H61" s="18">
        <f>'[4]SkM - GC Results (nmol g)'!H61/1000</f>
        <v>1.8594509467894444E-2</v>
      </c>
      <c r="I61" s="18">
        <f>'[4]SkM - GC Results (nmol g)'!I61/1000</f>
        <v>4.2696527735818328E-2</v>
      </c>
      <c r="J61" s="18">
        <f>'[4]SkM - GC Results (nmol g)'!J61/1000</f>
        <v>2.7414489703392334E-2</v>
      </c>
      <c r="K61" s="18">
        <f>'[4]SkM - GC Results (nmol g)'!K61/1000</f>
        <v>2.0144618693016557E-2</v>
      </c>
      <c r="L61" s="18">
        <f>'[4]SkM - GC Results (nmol g)'!L61/1000</f>
        <v>3.6099673533112463E-2</v>
      </c>
      <c r="M61" s="18"/>
      <c r="N61" s="18">
        <f>'[4]SkM - GC Results (nmol g)'!N61/1000</f>
        <v>2.6585890998791939E-2</v>
      </c>
      <c r="O61" s="18">
        <f>'[4]SkM - GC Results (nmol g)'!O61/1000</f>
        <v>1.0830425720450005E-2</v>
      </c>
      <c r="P61" s="18">
        <f>'[4]SkM - GC Results (nmol g)'!P61/1000</f>
        <v>6.4498969274202206E-3</v>
      </c>
      <c r="Q61" s="18">
        <f>'[4]SkM - GC Results (nmol g)'!Q61/1000</f>
        <v>2.7225593463477249E-2</v>
      </c>
      <c r="R61" s="18">
        <f>'[4]SkM - GC Results (nmol g)'!R61/1000</f>
        <v>2.1645594867298827E-2</v>
      </c>
      <c r="S61" s="18">
        <f>'[4]SkM - GC Results (nmol g)'!S61/1000</f>
        <v>1.4509687892296969E-2</v>
      </c>
      <c r="T61" s="18">
        <f>'[4]SkM - GC Results (nmol g)'!T61/1000</f>
        <v>1.5265396142988975E-2</v>
      </c>
      <c r="U61" s="18">
        <f>'[4]SkM - GC Results (nmol g)'!U61/1000</f>
        <v>1.8815265528890287E-2</v>
      </c>
      <c r="V61" s="18">
        <f>'[4]SkM - GC Results (nmol g)'!V61/1000</f>
        <v>1.657977210173725E-2</v>
      </c>
      <c r="W61" s="18">
        <f>'[4]SkM - GC Results (nmol g)'!W61/1000</f>
        <v>1.4555770950629475E-2</v>
      </c>
      <c r="X61" s="18"/>
      <c r="Y61" s="18">
        <f>'[4]SkM - GC Results (nmol g)'!Y61/1000</f>
        <v>2.261713844315209E-2</v>
      </c>
      <c r="Z61" s="18">
        <f>'[4]SkM - GC Results (nmol g)'!Z61/1000</f>
        <v>2.5379773668288523E-2</v>
      </c>
      <c r="AA61" s="18"/>
      <c r="AB61" s="18">
        <f>'[4]SkM - GC Results (nmol g)'!AB61/1000</f>
        <v>2.0015588298755493E-2</v>
      </c>
      <c r="AC61" s="18">
        <f>'[4]SkM - GC Results (nmol g)'!AC61/1000</f>
        <v>1.9639307937128689E-2</v>
      </c>
      <c r="AD61" s="18">
        <f>'[4]SkM - GC Results (nmol g)'!AD61/1000</f>
        <v>2.2998834921263117E-2</v>
      </c>
      <c r="AE61" s="18"/>
      <c r="AF61" s="18">
        <f>'[4]SkM - GC Results (nmol g)'!AF61/1000</f>
        <v>2.4646085741051611E-2</v>
      </c>
      <c r="AG61" s="18">
        <f>'[4]SkM - GC Results (nmol g)'!AG61/1000</f>
        <v>1.659324449894849E-2</v>
      </c>
      <c r="AH61" s="18">
        <f>'[4]SkM - GC Results (nmol g)'!AH61/1000</f>
        <v>1.8304091714881038E-2</v>
      </c>
    </row>
    <row r="62" spans="1:34" x14ac:dyDescent="0.2">
      <c r="A62" t="s">
        <v>47</v>
      </c>
      <c r="C62" s="18">
        <f>'[4]SkM - GC Results (nmol g)'!C62/1000</f>
        <v>1.1692546015341201</v>
      </c>
      <c r="D62" s="18">
        <f>'[4]SkM - GC Results (nmol g)'!D62/1000</f>
        <v>0.86613602833468106</v>
      </c>
      <c r="E62" s="18">
        <f>'[4]SkM - GC Results (nmol g)'!E62/1000</f>
        <v>0.96687711271625121</v>
      </c>
      <c r="F62" s="18">
        <f>'[4]SkM - GC Results (nmol g)'!F62/1000</f>
        <v>0.69373009095080052</v>
      </c>
      <c r="G62" s="18">
        <f>'[4]SkM - GC Results (nmol g)'!G62/1000</f>
        <v>0.73497006299753631</v>
      </c>
      <c r="H62" s="18">
        <f>'[4]SkM - GC Results (nmol g)'!H62/1000</f>
        <v>0.88295676030851311</v>
      </c>
      <c r="I62" s="18">
        <f>'[4]SkM - GC Results (nmol g)'!I62/1000</f>
        <v>1.4861306810364154</v>
      </c>
      <c r="J62" s="18">
        <f>'[4]SkM - GC Results (nmol g)'!J62/1000</f>
        <v>0.83855349874675533</v>
      </c>
      <c r="K62" s="18">
        <f>'[4]SkM - GC Results (nmol g)'!K62/1000</f>
        <v>0.43163137931539597</v>
      </c>
      <c r="L62" s="18">
        <f>'[4]SkM - GC Results (nmol g)'!L62/1000</f>
        <v>1.2050616852566081</v>
      </c>
      <c r="M62" s="18"/>
      <c r="N62" s="18">
        <f>'[4]SkM - GC Results (nmol g)'!N62/1000</f>
        <v>0.56872857171781355</v>
      </c>
      <c r="O62" s="18">
        <f>'[4]SkM - GC Results (nmol g)'!O62/1000</f>
        <v>0.1849204708165155</v>
      </c>
      <c r="P62" s="18">
        <f>'[4]SkM - GC Results (nmol g)'!P62/1000</f>
        <v>0.18235625810755265</v>
      </c>
      <c r="Q62" s="18">
        <f>'[4]SkM - GC Results (nmol g)'!Q62/1000</f>
        <v>0.69312699153723911</v>
      </c>
      <c r="R62" s="18">
        <f>'[4]SkM - GC Results (nmol g)'!R62/1000</f>
        <v>0.75706113744428705</v>
      </c>
      <c r="S62" s="18">
        <f>'[4]SkM - GC Results (nmol g)'!S62/1000</f>
        <v>0.31262055524745402</v>
      </c>
      <c r="T62" s="18">
        <f>'[4]SkM - GC Results (nmol g)'!T62/1000</f>
        <v>0.59919635488040413</v>
      </c>
      <c r="U62" s="18">
        <f>'[4]SkM - GC Results (nmol g)'!U62/1000</f>
        <v>0.59405122010991429</v>
      </c>
      <c r="V62" s="18">
        <f>'[4]SkM - GC Results (nmol g)'!V62/1000</f>
        <v>0.34231943395056336</v>
      </c>
      <c r="W62" s="18">
        <f>'[4]SkM - GC Results (nmol g)'!W62/1000</f>
        <v>0.50924421448192758</v>
      </c>
      <c r="X62" s="18"/>
      <c r="Y62" s="18">
        <f>'[4]SkM - GC Results (nmol g)'!Y62/1000</f>
        <v>0.67110429092649315</v>
      </c>
      <c r="Z62" s="18">
        <f>'[4]SkM - GC Results (nmol g)'!Z62/1000</f>
        <v>0.54908803514801363</v>
      </c>
      <c r="AA62" s="18"/>
      <c r="AB62" s="18">
        <f>'[4]SkM - GC Results (nmol g)'!AB62/1000</f>
        <v>0.51357887807860658</v>
      </c>
      <c r="AC62" s="18">
        <f>'[4]SkM - GC Results (nmol g)'!AC62/1000</f>
        <v>0.37884866692972535</v>
      </c>
      <c r="AD62" s="18">
        <f>'[4]SkM - GC Results (nmol g)'!AD62/1000</f>
        <v>0.37282099263714613</v>
      </c>
      <c r="AE62" s="18"/>
      <c r="AF62" s="18">
        <f>'[4]SkM - GC Results (nmol g)'!AF62/1000</f>
        <v>0.73873688782647073</v>
      </c>
      <c r="AG62" s="18">
        <f>'[4]SkM - GC Results (nmol g)'!AG62/1000</f>
        <v>0.43436501842484382</v>
      </c>
      <c r="AH62" s="18">
        <f>'[4]SkM - GC Results (nmol g)'!AH62/1000</f>
        <v>0.35215461445503621</v>
      </c>
    </row>
    <row r="63" spans="1:34" x14ac:dyDescent="0.2">
      <c r="A63" s="3"/>
      <c r="B63" s="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2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x14ac:dyDescent="0.2">
      <c r="A64" s="10" t="s">
        <v>48</v>
      </c>
      <c r="B64" s="3"/>
      <c r="C64" s="11">
        <f>SUM(C48:C62)</f>
        <v>699.94564861516608</v>
      </c>
      <c r="D64" s="11">
        <f t="shared" ref="D64:AH64" si="2">SUM(D48:D62)</f>
        <v>376.10053461291659</v>
      </c>
      <c r="E64" s="11">
        <f t="shared" si="2"/>
        <v>439.92701071098264</v>
      </c>
      <c r="F64" s="11">
        <f t="shared" si="2"/>
        <v>220.00237183813218</v>
      </c>
      <c r="G64" s="11">
        <f t="shared" si="2"/>
        <v>236.90357422363374</v>
      </c>
      <c r="H64" s="11">
        <f t="shared" si="2"/>
        <v>349.35619410635792</v>
      </c>
      <c r="I64" s="11">
        <f t="shared" si="2"/>
        <v>936.21696213028292</v>
      </c>
      <c r="J64" s="11">
        <f t="shared" si="2"/>
        <v>352.7708398711282</v>
      </c>
      <c r="K64" s="11">
        <f t="shared" si="2"/>
        <v>120.6503032727113</v>
      </c>
      <c r="L64" s="11">
        <f t="shared" si="2"/>
        <v>497.1416945963054</v>
      </c>
      <c r="M64" s="11"/>
      <c r="N64" s="11">
        <f t="shared" si="2"/>
        <v>253.10192742739977</v>
      </c>
      <c r="O64" s="11">
        <f t="shared" si="2"/>
        <v>43.411276702852909</v>
      </c>
      <c r="P64" s="11">
        <f t="shared" si="2"/>
        <v>57.143837044196403</v>
      </c>
      <c r="Q64" s="11">
        <f t="shared" si="2"/>
        <v>304.02730858037131</v>
      </c>
      <c r="R64" s="11">
        <f t="shared" si="2"/>
        <v>466.49689385108832</v>
      </c>
      <c r="S64" s="11">
        <f t="shared" si="2"/>
        <v>140.89575675906181</v>
      </c>
      <c r="T64" s="11">
        <f t="shared" si="2"/>
        <v>308.4335348800779</v>
      </c>
      <c r="U64" s="11">
        <f t="shared" si="2"/>
        <v>367.83053431348998</v>
      </c>
      <c r="V64" s="11">
        <f t="shared" si="2"/>
        <v>116.53946550108409</v>
      </c>
      <c r="W64" s="11">
        <f t="shared" si="2"/>
        <v>218.25412358675945</v>
      </c>
      <c r="X64" s="11"/>
      <c r="Y64" s="11">
        <f t="shared" si="2"/>
        <v>416.4027644986395</v>
      </c>
      <c r="Z64" s="11">
        <f t="shared" si="2"/>
        <v>356.39205112369217</v>
      </c>
      <c r="AA64" s="11"/>
      <c r="AB64" s="11">
        <f t="shared" si="2"/>
        <v>179.22232759652064</v>
      </c>
      <c r="AC64" s="11">
        <f t="shared" si="2"/>
        <v>152.74380758783039</v>
      </c>
      <c r="AD64" s="11">
        <f t="shared" si="2"/>
        <v>134.85047275375655</v>
      </c>
      <c r="AE64" s="11"/>
      <c r="AF64" s="11">
        <f t="shared" si="2"/>
        <v>328.77565869482601</v>
      </c>
      <c r="AG64" s="11">
        <f t="shared" si="2"/>
        <v>254.10459388920768</v>
      </c>
      <c r="AH64" s="11">
        <f t="shared" si="2"/>
        <v>159.65959145930174</v>
      </c>
    </row>
    <row r="65" spans="1:34" x14ac:dyDescent="0.2">
      <c r="A65" s="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</sheetData>
  <mergeCells count="10">
    <mergeCell ref="A42:B42"/>
    <mergeCell ref="A46:B46"/>
    <mergeCell ref="A63:B63"/>
    <mergeCell ref="A64:B64"/>
    <mergeCell ref="A1:B1"/>
    <mergeCell ref="A2:B2"/>
    <mergeCell ref="A19:B19"/>
    <mergeCell ref="A20:B20"/>
    <mergeCell ref="A24:B24"/>
    <mergeCell ref="A41:B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eWAT - GC Results (mmol kg)</vt:lpstr>
      <vt:lpstr>iWAT - GC Results (mmol kg)</vt:lpstr>
      <vt:lpstr>Liver - GC Results (mmol kg)</vt:lpstr>
      <vt:lpstr>SkM - GC Results (mmol kg)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Handy</dc:creator>
  <cp:lastModifiedBy>Rachel Handy</cp:lastModifiedBy>
  <dcterms:created xsi:type="dcterms:W3CDTF">2026-02-24T13:44:23Z</dcterms:created>
  <dcterms:modified xsi:type="dcterms:W3CDTF">2026-02-24T13:51:23Z</dcterms:modified>
</cp:coreProperties>
</file>