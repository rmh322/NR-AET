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/Documents/MSF Data/NR-AET Project/Github Upload/"/>
    </mc:Choice>
  </mc:AlternateContent>
  <xr:revisionPtr revIDLastSave="0" documentId="8_{71A51708-FA0E-C541-86E0-5E6E3DEC7A76}" xr6:coauthVersionLast="47" xr6:coauthVersionMax="47" xr10:uidLastSave="{00000000-0000-0000-0000-000000000000}"/>
  <bookViews>
    <workbookView xWindow="640" yWindow="1480" windowWidth="24640" windowHeight="13360" xr2:uid="{6320EFFA-7761-B748-90EB-F88124EF6328}"/>
  </bookViews>
  <sheets>
    <sheet name="Corr Matrix Data (Enriched)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<sst xmlns="http://schemas.openxmlformats.org/spreadsheetml/2006/main" count="31" uniqueCount="31">
  <si>
    <t>ID</t>
  </si>
  <si>
    <t>Body Weight</t>
  </si>
  <si>
    <t>Fasting Blood Glucose</t>
  </si>
  <si>
    <t>Light Cycle RER</t>
  </si>
  <si>
    <t>% Lipid Area</t>
  </si>
  <si>
    <t>TAG Abundance</t>
  </si>
  <si>
    <t>DAG Abundance</t>
  </si>
  <si>
    <t>Ceramide Abundance</t>
  </si>
  <si>
    <t>GO:0009081</t>
  </si>
  <si>
    <t>GO:0009083</t>
  </si>
  <si>
    <t>GO:0045333</t>
  </si>
  <si>
    <t>GO:0009063</t>
  </si>
  <si>
    <t>GO:0009060</t>
  </si>
  <si>
    <t>GO:0019646</t>
  </si>
  <si>
    <t>GO:0042775</t>
  </si>
  <si>
    <t>GO:0006086</t>
  </si>
  <si>
    <t>GO:1904352</t>
  </si>
  <si>
    <t>GO:1905691</t>
  </si>
  <si>
    <t>HFD1</t>
  </si>
  <si>
    <t>HFD2</t>
  </si>
  <si>
    <t>HFD3</t>
  </si>
  <si>
    <t>HFD5</t>
  </si>
  <si>
    <t>HFD6</t>
  </si>
  <si>
    <t>EX1</t>
  </si>
  <si>
    <t>EX2</t>
  </si>
  <si>
    <t>EX4</t>
  </si>
  <si>
    <t>EX5</t>
  </si>
  <si>
    <t>NR3</t>
  </si>
  <si>
    <t>NR4</t>
  </si>
  <si>
    <t>NR5</t>
  </si>
  <si>
    <t>NR6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</si>
</sst>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1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2">
    <cellStyle name="Normal" xfId="0" builtinId="0"/>
    <cellStyle name="Normal 2" xfId="1" xr:uid="{C8A5C29C-C6A9-C141-8B4A-33ADE3DDE7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achel/Desktop/NR%20+%20Exercise%20Study/DATA/Proteomics/Liver/Liver%20-%20Correlation%20Matrix%20(v%20Whole-Body).xlsx" TargetMode="External"/><Relationship Id="rId1" Type="http://schemas.openxmlformats.org/officeDocument/2006/relationships/externalLinkPath" Target="/Users/rachel/Desktop/NR%20+%20Exercise%20Study/DATA/Proteomics/Liver/Liver%20-%20Correlation%20Matrix%20(v%20Whole-Body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r Matrix Data"/>
      <sheetName val="Correlations"/>
      <sheetName val="P values"/>
      <sheetName val="Corr Matrix Data (2)"/>
      <sheetName val="Correlations (2)"/>
      <sheetName val="P values (2)"/>
      <sheetName val="Corr Matrix Data (Enriched)"/>
      <sheetName val="Correlations (Enriched)"/>
      <sheetName val="P values (Enriched)"/>
      <sheetName val="Data for Dotplot FC (ALL)"/>
      <sheetName val="Data for Dotplot FC (enriche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>
            <v>954000</v>
          </cell>
        </row>
        <row r="3">
          <cell r="B3">
            <v>3650000</v>
          </cell>
        </row>
        <row r="4">
          <cell r="B4">
            <v>3880000</v>
          </cell>
        </row>
        <row r="5">
          <cell r="B5">
            <v>7910000</v>
          </cell>
        </row>
        <row r="6">
          <cell r="B6">
            <v>6820000</v>
          </cell>
        </row>
        <row r="7">
          <cell r="B7">
            <v>5260000</v>
          </cell>
        </row>
        <row r="8">
          <cell r="B8">
            <v>16000000</v>
          </cell>
        </row>
        <row r="9">
          <cell r="B9">
            <v>11500000</v>
          </cell>
        </row>
        <row r="10">
          <cell r="B10">
            <v>31700000</v>
          </cell>
        </row>
        <row r="11">
          <cell r="B11">
            <v>812000</v>
          </cell>
        </row>
        <row r="12">
          <cell r="B12">
            <v>8220000</v>
          </cell>
        </row>
        <row r="13">
          <cell r="B13">
            <v>120000000</v>
          </cell>
        </row>
        <row r="14">
          <cell r="B14">
            <v>909000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BDDD-8450-7E49-A4A6-D729E959F58D}">
  <sheetPr>
    <tabColor theme="7" tint="0.79998168889431442"/>
  </sheetPr>
  <dimension ref="A1:U26"/>
  <sheetViews>
    <sheetView tabSelected="1" zoomScale="90" zoomScaleNormal="90" workbookViewId="0">
      <pane xSplit="1" topLeftCell="B1" activePane="topRight" state="frozen"/>
      <selection activeCell="J27" sqref="J27"/>
      <selection pane="topRight" activeCell="E1" sqref="E1:R1"/>
    </sheetView>
  </sheetViews>
  <sheetFormatPr baseColWidth="10" defaultRowHeight="16" x14ac:dyDescent="0.2"/>
  <cols>
    <col min="1" max="1" width="5.83203125" style="4" bestFit="1" customWidth="1"/>
    <col min="2" max="2" width="12.1640625" style="4" bestFit="1" customWidth="1"/>
    <col min="3" max="3" width="20" style="4" bestFit="1" customWidth="1"/>
    <col min="4" max="4" width="14" style="4" bestFit="1" customWidth="1"/>
    <col min="5" max="5" width="11.83203125" style="4" bestFit="1" customWidth="1"/>
    <col min="6" max="6" width="15" style="4" bestFit="1" customWidth="1"/>
    <col min="7" max="7" width="15.33203125" style="4" bestFit="1" customWidth="1"/>
    <col min="8" max="8" width="20" style="4" bestFit="1" customWidth="1"/>
    <col min="9" max="16" width="12.1640625" style="4" bestFit="1" customWidth="1"/>
    <col min="17" max="17" width="12.1640625" bestFit="1" customWidth="1"/>
    <col min="18" max="18" width="12.1640625" style="4" bestFit="1" customWidth="1"/>
    <col min="19" max="16384" width="10.83203125" style="4"/>
  </cols>
  <sheetData>
    <row r="1" spans="1:18" s="2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 s="3" t="s">
        <v>18</v>
      </c>
      <c r="B2" s="4">
        <v>44.5</v>
      </c>
      <c r="C2" s="4">
        <v>9.3000000000000007</v>
      </c>
      <c r="D2" s="5">
        <v>0.79150854000000004</v>
      </c>
      <c r="E2" s="4">
        <v>42.480800000000002</v>
      </c>
      <c r="F2" s="6">
        <v>905.8</v>
      </c>
      <c r="G2" s="6">
        <v>9.14</v>
      </c>
      <c r="H2" s="6">
        <v>0.61146</v>
      </c>
      <c r="I2" s="4">
        <v>4127000</v>
      </c>
      <c r="J2" s="4">
        <v>4127000</v>
      </c>
      <c r="K2" s="4">
        <v>124604000</v>
      </c>
      <c r="L2" s="4">
        <v>4127000</v>
      </c>
      <c r="M2" s="4">
        <v>120954000</v>
      </c>
      <c r="N2" s="4">
        <v>4604000</v>
      </c>
      <c r="O2" s="4">
        <v>4604000</v>
      </c>
      <c r="P2" s="4">
        <f>'[1]Data for Dotplot FC (enriched)'!B2</f>
        <v>954000</v>
      </c>
      <c r="Q2" s="4">
        <v>618000</v>
      </c>
      <c r="R2" s="4">
        <v>11500000</v>
      </c>
    </row>
    <row r="3" spans="1:18" x14ac:dyDescent="0.2">
      <c r="A3" s="3" t="s">
        <v>19</v>
      </c>
      <c r="B3" s="4">
        <v>44.2</v>
      </c>
      <c r="C3" s="4">
        <v>9.3000000000000007</v>
      </c>
      <c r="D3" s="5">
        <v>0.78474235999999997</v>
      </c>
      <c r="E3" s="4">
        <v>39.146999999999998</v>
      </c>
      <c r="F3" s="6">
        <v>569.19000000000005</v>
      </c>
      <c r="G3" s="6">
        <v>6.87</v>
      </c>
      <c r="H3" s="6">
        <v>0.67969999999999997</v>
      </c>
      <c r="I3" s="4">
        <v>2062900</v>
      </c>
      <c r="J3" s="4">
        <v>2062900</v>
      </c>
      <c r="K3" s="4">
        <v>118970000</v>
      </c>
      <c r="L3" s="4">
        <v>2062900</v>
      </c>
      <c r="M3" s="4">
        <v>114670000</v>
      </c>
      <c r="N3" s="4">
        <v>5970000</v>
      </c>
      <c r="O3" s="4">
        <v>5970000</v>
      </c>
      <c r="P3" s="4">
        <f>'[1]Data for Dotplot FC (enriched)'!B3</f>
        <v>3650000</v>
      </c>
      <c r="Q3" s="4">
        <v>465000</v>
      </c>
      <c r="R3" s="4">
        <v>6110000</v>
      </c>
    </row>
    <row r="4" spans="1:18" x14ac:dyDescent="0.2">
      <c r="A4" s="3" t="s">
        <v>20</v>
      </c>
      <c r="B4" s="4">
        <v>46.3</v>
      </c>
      <c r="C4" s="4">
        <v>12.3</v>
      </c>
      <c r="D4" s="5">
        <v>0.78998248000000004</v>
      </c>
      <c r="E4" s="4">
        <v>42.069000000000003</v>
      </c>
      <c r="F4" s="6">
        <v>839.18</v>
      </c>
      <c r="G4" s="6">
        <v>7.57</v>
      </c>
      <c r="H4" s="6">
        <v>0.59562999999999999</v>
      </c>
      <c r="I4" s="4">
        <v>2184000</v>
      </c>
      <c r="J4" s="4">
        <v>2184000</v>
      </c>
      <c r="K4" s="4">
        <v>106930000</v>
      </c>
      <c r="L4" s="4">
        <v>2184000</v>
      </c>
      <c r="M4" s="4">
        <v>105450000</v>
      </c>
      <c r="N4" s="4">
        <v>2930000</v>
      </c>
      <c r="O4" s="4">
        <v>2930000</v>
      </c>
      <c r="P4" s="4">
        <f>'[1]Data for Dotplot FC (enriched)'!B4</f>
        <v>3880000</v>
      </c>
      <c r="Q4" s="4">
        <v>477000</v>
      </c>
      <c r="R4" s="4">
        <v>11500000</v>
      </c>
    </row>
    <row r="5" spans="1:18" x14ac:dyDescent="0.2">
      <c r="A5" s="3" t="s">
        <v>21</v>
      </c>
      <c r="B5" s="4">
        <v>44.7</v>
      </c>
      <c r="C5" s="4">
        <v>9.3000000000000007</v>
      </c>
      <c r="D5" s="5">
        <v>0.80324472000000002</v>
      </c>
      <c r="E5" s="4">
        <v>40.195250000000001</v>
      </c>
      <c r="F5" s="6">
        <v>631.23</v>
      </c>
      <c r="G5" s="6">
        <v>7.48</v>
      </c>
      <c r="H5" s="6">
        <v>0.67778000000000005</v>
      </c>
      <c r="I5" s="4">
        <v>1567000</v>
      </c>
      <c r="J5" s="4">
        <v>1567000</v>
      </c>
      <c r="K5" s="4">
        <v>126800000</v>
      </c>
      <c r="L5" s="4">
        <v>1567000</v>
      </c>
      <c r="M5" s="4">
        <v>124090000</v>
      </c>
      <c r="N5" s="4">
        <v>3800000</v>
      </c>
      <c r="O5" s="4">
        <v>3800000</v>
      </c>
      <c r="P5" s="4">
        <f>'[1]Data for Dotplot FC (enriched)'!B5</f>
        <v>7910000</v>
      </c>
      <c r="Q5" s="4">
        <v>105000</v>
      </c>
      <c r="R5" s="4">
        <v>2670000</v>
      </c>
    </row>
    <row r="6" spans="1:18" x14ac:dyDescent="0.2">
      <c r="A6" s="3" t="s">
        <v>22</v>
      </c>
      <c r="B6" s="4">
        <v>41.7</v>
      </c>
      <c r="C6" s="4">
        <v>11.3</v>
      </c>
      <c r="D6" s="5">
        <v>0.80108427999999998</v>
      </c>
      <c r="E6" s="4">
        <v>27.780749999999998</v>
      </c>
      <c r="F6" s="6">
        <v>567.82000000000005</v>
      </c>
      <c r="G6" s="6">
        <v>7.51</v>
      </c>
      <c r="H6" s="6">
        <v>0.83165</v>
      </c>
      <c r="I6" s="4">
        <v>2203000</v>
      </c>
      <c r="J6" s="4">
        <v>2203000</v>
      </c>
      <c r="K6" s="4">
        <v>51467000</v>
      </c>
      <c r="L6" s="4">
        <v>2203000</v>
      </c>
      <c r="M6" s="4">
        <v>50902000</v>
      </c>
      <c r="N6" s="4">
        <v>867000</v>
      </c>
      <c r="O6" s="4">
        <v>867000</v>
      </c>
      <c r="P6" s="4">
        <f>'[1]Data for Dotplot FC (enriched)'!B6</f>
        <v>6820000</v>
      </c>
      <c r="Q6" s="4">
        <v>402000</v>
      </c>
      <c r="R6" s="4">
        <v>432000</v>
      </c>
    </row>
    <row r="7" spans="1:18" x14ac:dyDescent="0.2">
      <c r="A7" s="3" t="s">
        <v>23</v>
      </c>
      <c r="B7" s="4">
        <v>39.9</v>
      </c>
      <c r="C7" s="4">
        <v>7.8</v>
      </c>
      <c r="D7" s="5">
        <v>0.81113393</v>
      </c>
      <c r="E7" s="4">
        <v>23.039000000000001</v>
      </c>
      <c r="F7" s="6">
        <v>424.96</v>
      </c>
      <c r="G7" s="6">
        <v>21.19</v>
      </c>
      <c r="H7" s="6">
        <v>0.98870000000000002</v>
      </c>
      <c r="I7" s="4">
        <v>4601000</v>
      </c>
      <c r="J7" s="4">
        <v>4601000</v>
      </c>
      <c r="K7" s="4">
        <v>83722000</v>
      </c>
      <c r="L7" s="4">
        <v>4601000</v>
      </c>
      <c r="M7" s="4">
        <v>82753000</v>
      </c>
      <c r="N7" s="4">
        <v>1222000</v>
      </c>
      <c r="O7" s="4">
        <v>1222000</v>
      </c>
      <c r="P7" s="4">
        <f>'[1]Data for Dotplot FC (enriched)'!B7</f>
        <v>5260000</v>
      </c>
      <c r="Q7" s="4">
        <v>1170000</v>
      </c>
      <c r="R7" s="4">
        <v>709000</v>
      </c>
    </row>
    <row r="8" spans="1:18" x14ac:dyDescent="0.2">
      <c r="A8" s="3" t="s">
        <v>24</v>
      </c>
      <c r="B8" s="4">
        <v>38.799999999999997</v>
      </c>
      <c r="C8" s="4">
        <v>8.8000000000000007</v>
      </c>
      <c r="D8" s="5">
        <v>0.77713401000000004</v>
      </c>
      <c r="E8" s="4">
        <v>19.21425</v>
      </c>
      <c r="F8" s="6">
        <v>236.67</v>
      </c>
      <c r="G8" s="6">
        <v>10.55</v>
      </c>
      <c r="H8" s="6">
        <v>1.03464</v>
      </c>
      <c r="I8" s="4">
        <v>2078000</v>
      </c>
      <c r="J8" s="4">
        <v>2078000</v>
      </c>
      <c r="K8" s="4">
        <v>41951000</v>
      </c>
      <c r="L8" s="4">
        <v>2078000</v>
      </c>
      <c r="M8" s="4">
        <v>41198000</v>
      </c>
      <c r="N8" s="4">
        <v>951000</v>
      </c>
      <c r="O8" s="4">
        <v>951000</v>
      </c>
      <c r="P8" s="4">
        <f>'[1]Data for Dotplot FC (enriched)'!B8</f>
        <v>16000000</v>
      </c>
      <c r="Q8" s="4">
        <v>592000</v>
      </c>
      <c r="R8" s="4">
        <v>130000</v>
      </c>
    </row>
    <row r="9" spans="1:18" x14ac:dyDescent="0.2">
      <c r="A9" s="3" t="s">
        <v>25</v>
      </c>
      <c r="B9" s="4">
        <v>43</v>
      </c>
      <c r="C9" s="4">
        <v>7.9</v>
      </c>
      <c r="D9" s="5">
        <v>0.79358238999999997</v>
      </c>
      <c r="E9" s="4">
        <v>29.368499999999997</v>
      </c>
      <c r="F9" s="6">
        <v>501.54</v>
      </c>
      <c r="G9" s="6">
        <v>10.92</v>
      </c>
      <c r="H9" s="6">
        <v>0.74161999999999995</v>
      </c>
      <c r="I9" s="4">
        <v>1409000</v>
      </c>
      <c r="J9" s="4">
        <v>1409000</v>
      </c>
      <c r="K9" s="4">
        <v>35190000</v>
      </c>
      <c r="L9" s="4">
        <v>1409000</v>
      </c>
      <c r="M9" s="4">
        <v>33880000</v>
      </c>
      <c r="N9" s="4">
        <v>1490000</v>
      </c>
      <c r="O9" s="4">
        <v>1490000</v>
      </c>
      <c r="P9" s="4">
        <f>'[1]Data for Dotplot FC (enriched)'!B9</f>
        <v>11500000</v>
      </c>
      <c r="Q9" s="4">
        <v>26600</v>
      </c>
      <c r="R9" s="4">
        <v>1460000</v>
      </c>
    </row>
    <row r="10" spans="1:18" x14ac:dyDescent="0.2">
      <c r="A10" s="3" t="s">
        <v>26</v>
      </c>
      <c r="B10" s="4">
        <v>37.6</v>
      </c>
      <c r="C10" s="4">
        <v>6.7</v>
      </c>
      <c r="D10" s="5">
        <v>0.81858255999999996</v>
      </c>
      <c r="E10" s="4">
        <v>25.743749999999999</v>
      </c>
      <c r="F10" s="6">
        <v>270.52999999999997</v>
      </c>
      <c r="G10" s="6">
        <v>11.17</v>
      </c>
      <c r="H10" s="6">
        <v>0.59760000000000002</v>
      </c>
      <c r="I10" s="4">
        <v>2514100</v>
      </c>
      <c r="J10" s="4">
        <v>2514100</v>
      </c>
      <c r="K10" s="4">
        <v>36627000</v>
      </c>
      <c r="L10" s="4">
        <v>2514100</v>
      </c>
      <c r="M10" s="4">
        <v>36085000</v>
      </c>
      <c r="N10" s="4">
        <v>727000</v>
      </c>
      <c r="O10" s="4">
        <v>727000</v>
      </c>
      <c r="P10" s="4">
        <f>'[1]Data for Dotplot FC (enriched)'!B10</f>
        <v>31700000</v>
      </c>
      <c r="Q10" s="4">
        <v>487000</v>
      </c>
      <c r="R10" s="4">
        <v>31800</v>
      </c>
    </row>
    <row r="11" spans="1:18" x14ac:dyDescent="0.2">
      <c r="A11" s="3" t="s">
        <v>27</v>
      </c>
      <c r="B11" s="4">
        <v>39.200000000000003</v>
      </c>
      <c r="C11" s="4">
        <v>7.9</v>
      </c>
      <c r="D11" s="5">
        <v>0.83863867999999997</v>
      </c>
      <c r="E11" s="4">
        <v>22.656600000000001</v>
      </c>
      <c r="F11" s="6">
        <v>396.08</v>
      </c>
      <c r="G11" s="6">
        <v>9.9499999999999993</v>
      </c>
      <c r="H11" s="6">
        <v>0.92656000000000005</v>
      </c>
      <c r="I11" s="4">
        <v>5578000</v>
      </c>
      <c r="J11" s="4">
        <v>5578000</v>
      </c>
      <c r="K11" s="4">
        <v>47429000</v>
      </c>
      <c r="L11" s="4">
        <v>5578000</v>
      </c>
      <c r="M11" s="4">
        <v>46369000</v>
      </c>
      <c r="N11" s="4">
        <v>1429000</v>
      </c>
      <c r="O11" s="4">
        <v>1429000</v>
      </c>
      <c r="P11" s="4">
        <f>'[1]Data for Dotplot FC (enriched)'!B11</f>
        <v>812000</v>
      </c>
      <c r="Q11" s="4">
        <v>2420000</v>
      </c>
      <c r="R11" s="4">
        <v>2980000</v>
      </c>
    </row>
    <row r="12" spans="1:18" x14ac:dyDescent="0.2">
      <c r="A12" s="3" t="s">
        <v>28</v>
      </c>
      <c r="B12" s="4">
        <v>41.7</v>
      </c>
      <c r="C12" s="4">
        <v>10.3</v>
      </c>
      <c r="D12" s="5">
        <v>0.83543586999999997</v>
      </c>
      <c r="E12" s="4">
        <v>17.673250000000003</v>
      </c>
      <c r="F12" s="6">
        <v>313.32</v>
      </c>
      <c r="G12" s="6">
        <v>6.75</v>
      </c>
      <c r="H12" s="6">
        <v>0.81640999999999997</v>
      </c>
      <c r="I12" s="4">
        <v>7270000</v>
      </c>
      <c r="J12" s="4">
        <v>7270000</v>
      </c>
      <c r="K12" s="4">
        <v>100103000</v>
      </c>
      <c r="L12" s="4">
        <v>7270000</v>
      </c>
      <c r="M12" s="4">
        <v>99869000</v>
      </c>
      <c r="N12" s="4">
        <v>903000</v>
      </c>
      <c r="O12" s="4">
        <v>903000</v>
      </c>
      <c r="P12" s="4">
        <f>'[1]Data for Dotplot FC (enriched)'!B12</f>
        <v>8220000</v>
      </c>
      <c r="Q12" s="4">
        <v>2050000</v>
      </c>
      <c r="R12" s="4">
        <v>1550000</v>
      </c>
    </row>
    <row r="13" spans="1:18" x14ac:dyDescent="0.2">
      <c r="A13" s="3" t="s">
        <v>29</v>
      </c>
      <c r="B13" s="4">
        <v>43.3</v>
      </c>
      <c r="C13" s="4">
        <v>8.9</v>
      </c>
      <c r="D13" s="5">
        <v>0.78550849</v>
      </c>
      <c r="E13" s="4">
        <v>33.426500000000004</v>
      </c>
      <c r="F13" s="6">
        <v>414.66</v>
      </c>
      <c r="G13" s="6">
        <v>6.29</v>
      </c>
      <c r="H13" s="6">
        <v>0.59809999999999997</v>
      </c>
      <c r="I13" s="4">
        <v>3096000</v>
      </c>
      <c r="J13" s="4">
        <v>3096000</v>
      </c>
      <c r="K13" s="4">
        <v>52863500</v>
      </c>
      <c r="L13" s="4">
        <v>3096000</v>
      </c>
      <c r="M13" s="4">
        <v>52062500</v>
      </c>
      <c r="N13" s="4">
        <v>863500</v>
      </c>
      <c r="O13" s="4">
        <v>863500</v>
      </c>
      <c r="P13" s="4">
        <f>'[1]Data for Dotplot FC (enriched)'!B13</f>
        <v>120000000</v>
      </c>
      <c r="Q13" s="4">
        <v>610000</v>
      </c>
      <c r="R13" s="4">
        <v>1020000</v>
      </c>
    </row>
    <row r="14" spans="1:18" x14ac:dyDescent="0.2">
      <c r="A14" s="3" t="s">
        <v>30</v>
      </c>
      <c r="B14" s="4">
        <v>42</v>
      </c>
      <c r="C14" s="4">
        <v>8.1999999999999993</v>
      </c>
      <c r="D14" s="5">
        <v>0.83404109000000004</v>
      </c>
      <c r="E14" s="4">
        <v>20.602</v>
      </c>
      <c r="F14" s="6">
        <v>390.94</v>
      </c>
      <c r="G14" s="6">
        <v>7.85</v>
      </c>
      <c r="H14" s="6">
        <v>0.64770000000000005</v>
      </c>
      <c r="I14" s="4">
        <v>7000000</v>
      </c>
      <c r="J14" s="4">
        <v>7000000</v>
      </c>
      <c r="K14" s="4">
        <v>91032000</v>
      </c>
      <c r="L14" s="4">
        <v>7000000</v>
      </c>
      <c r="M14" s="4">
        <v>89902000</v>
      </c>
      <c r="N14" s="4">
        <v>1332000</v>
      </c>
      <c r="O14" s="4">
        <v>1332000</v>
      </c>
      <c r="P14" s="4">
        <f>'[1]Data for Dotplot FC (enriched)'!B14</f>
        <v>909000</v>
      </c>
      <c r="Q14" s="4">
        <v>764000</v>
      </c>
      <c r="R14" s="4">
        <v>1660000</v>
      </c>
    </row>
    <row r="17" spans="1:21" x14ac:dyDescent="0.2">
      <c r="A17" s="3"/>
    </row>
    <row r="21" spans="1:21" x14ac:dyDescent="0.2">
      <c r="R21" s="7"/>
      <c r="S21" s="7"/>
      <c r="T21" s="7"/>
      <c r="U21" s="7"/>
    </row>
    <row r="26" spans="1:21" x14ac:dyDescent="0.2">
      <c r="Q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 Matrix Data (Enriched)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Handy</dc:creator>
  <cp:lastModifiedBy>Rachel Handy</cp:lastModifiedBy>
  <dcterms:created xsi:type="dcterms:W3CDTF">2026-02-24T11:56:33Z</dcterms:created>
  <dcterms:modified xsi:type="dcterms:W3CDTF">2026-02-24T11:56:54Z</dcterms:modified>
</cp:coreProperties>
</file>